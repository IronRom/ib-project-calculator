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Администрация\ЗГД по экономике\Отдел организации и размещения заказа\Договоры 2022\- 11-ХХХ -суэ СОиУЭ\"/>
    </mc:Choice>
  </mc:AlternateContent>
  <xr:revisionPtr revIDLastSave="0" documentId="13_ncr:1_{92FC9625-9ACB-4257-B2B9-37DDD08264D0}" xr6:coauthVersionLast="36" xr6:coauthVersionMax="36" xr10:uidLastSave="{00000000-0000-0000-0000-000000000000}"/>
  <bookViews>
    <workbookView xWindow="0" yWindow="0" windowWidth="16545" windowHeight="9855" xr2:uid="{00000000-000D-0000-FFFF-FFFF00000000}"/>
  </bookViews>
  <sheets>
    <sheet name="Смета" sheetId="1" r:id="rId1"/>
    <sheet name="Лист1" sheetId="2" r:id="rId2"/>
  </sheets>
  <definedNames>
    <definedName name="_xlnm.Print_Area" localSheetId="0">Смета!$A$1:$N$232</definedName>
  </definedNames>
  <calcPr calcId="191029"/>
</workbook>
</file>

<file path=xl/calcChain.xml><?xml version="1.0" encoding="utf-8"?>
<calcChain xmlns="http://schemas.openxmlformats.org/spreadsheetml/2006/main">
  <c r="J218" i="1" l="1"/>
  <c r="J219" i="1" s="1"/>
  <c r="J220" i="1" s="1"/>
  <c r="J217" i="1"/>
  <c r="J216" i="1"/>
  <c r="J180" i="1" l="1"/>
  <c r="J179" i="1"/>
  <c r="J181" i="1" l="1"/>
  <c r="J182" i="1" s="1"/>
  <c r="J183" i="1" s="1"/>
  <c r="J142" i="1"/>
  <c r="J141" i="1"/>
  <c r="J143" i="1" s="1"/>
  <c r="J144" i="1" s="1"/>
  <c r="J145" i="1" s="1"/>
  <c r="J104" i="1" l="1"/>
  <c r="J103" i="1"/>
  <c r="J105" i="1" l="1"/>
  <c r="J106" i="1" s="1"/>
  <c r="J107" i="1" s="1"/>
  <c r="J68" i="1"/>
  <c r="J67" i="1"/>
  <c r="J69" i="1" s="1"/>
  <c r="J70" i="1" s="1"/>
  <c r="J71" i="1" s="1"/>
  <c r="J29" i="1" l="1"/>
  <c r="J30" i="1" l="1"/>
  <c r="J31" i="1" l="1"/>
  <c r="J32" i="1" s="1"/>
  <c r="J33" i="1" s="1"/>
</calcChain>
</file>

<file path=xl/sharedStrings.xml><?xml version="1.0" encoding="utf-8"?>
<sst xmlns="http://schemas.openxmlformats.org/spreadsheetml/2006/main" count="249" uniqueCount="56">
  <si>
    <t>Форма 2ПС ИР</t>
  </si>
  <si>
    <t>Смета № ЛС</t>
  </si>
  <si>
    <t>Стадия проектирования</t>
  </si>
  <si>
    <t>Проект</t>
  </si>
  <si>
    <t>Вид проектных или
изыскательских работ</t>
  </si>
  <si>
    <t/>
  </si>
  <si>
    <t>Сметный расчет составлен по
следующим документам</t>
  </si>
  <si>
    <t>№ п/п</t>
  </si>
  <si>
    <t>Наименование работ и затрат</t>
  </si>
  <si>
    <t>Единица измерения</t>
  </si>
  <si>
    <t>Кол-во</t>
  </si>
  <si>
    <t>Обоснование стоимости</t>
  </si>
  <si>
    <t>Расчет стоимости</t>
  </si>
  <si>
    <t>Стоимость работ, Руб.</t>
  </si>
  <si>
    <t>установка</t>
  </si>
  <si>
    <t>система</t>
  </si>
  <si>
    <t>Итого</t>
  </si>
  <si>
    <t>Системы безопасности</t>
  </si>
  <si>
    <t>Примечание</t>
  </si>
  <si>
    <t>УТВЕРЖДАЮ</t>
  </si>
  <si>
    <t>Звуковая система пожарного оповещения</t>
  </si>
  <si>
    <t>Табл 5,3. МРР-3.2.79.03-16
(Значение Х площадь защищаемых помещений)</t>
  </si>
  <si>
    <t xml:space="preserve">Табл 5.4. МРР-3.2.79.03-16
(Значение Х количество звуковых извещателей)
</t>
  </si>
  <si>
    <t>(а+ в * Х) * (100%) *0,7</t>
  </si>
  <si>
    <t>Наименование организации
Подрядчика</t>
  </si>
  <si>
    <t>Наименование предприятия,
здания, сооружения Заказчика</t>
  </si>
  <si>
    <r>
      <t>Проектирование систем безопасности</t>
    </r>
    <r>
      <rPr>
        <b/>
        <sz val="14"/>
        <color theme="1"/>
        <rFont val="Arial"/>
        <family val="2"/>
        <charset val="204"/>
      </rPr>
      <t xml:space="preserve"> (</t>
    </r>
    <r>
      <rPr>
        <b/>
        <i/>
        <sz val="14"/>
        <color theme="1"/>
        <rFont val="Arial"/>
        <family val="2"/>
        <charset val="204"/>
      </rPr>
      <t>Система автоматической пожарной сигнализации)</t>
    </r>
  </si>
  <si>
    <r>
      <t xml:space="preserve">Значения параметра </t>
    </r>
    <r>
      <rPr>
        <b/>
        <sz val="14"/>
        <rFont val="Calibri"/>
        <family val="2"/>
        <charset val="204"/>
      </rPr>
      <t>а</t>
    </r>
  </si>
  <si>
    <r>
      <t xml:space="preserve">Значения параметра                         </t>
    </r>
    <r>
      <rPr>
        <b/>
        <sz val="14"/>
        <rFont val="Calibri"/>
        <family val="2"/>
        <charset val="204"/>
      </rPr>
      <t>в</t>
    </r>
  </si>
  <si>
    <r>
      <t xml:space="preserve">Значения параметра                         </t>
    </r>
    <r>
      <rPr>
        <b/>
        <sz val="14"/>
        <rFont val="Calibri"/>
        <family val="2"/>
        <charset val="204"/>
      </rPr>
      <t>х</t>
    </r>
  </si>
  <si>
    <t>Общество с ограниченной ответственностью "Строительная Компания "СКАТ"</t>
  </si>
  <si>
    <t>Составитель сметы  Инженер-сметчик _______________________ М.К.Лебедева
                                  (подпись, инициалы, фамилия)</t>
  </si>
  <si>
    <t xml:space="preserve">Проверил  Генеральный директор ООО "СК "СКАТ"_____________________________С.В.Валов </t>
  </si>
  <si>
    <t xml:space="preserve">
 МРР-5.3-16. (МЕТОДИКА  определения стоимости разработки раздела “Мероприятия по обеспечению пожарной безопасности” и проектирования систем противопожарной защиты и охранной сигнализации, осуществляемых с привлечением средств бюджета города Москвы)
</t>
  </si>
  <si>
    <t>МРР-5.3-16.    табл .3.4  , 
Число извещателей --2 шт.
 К=0,7</t>
  </si>
  <si>
    <t>С учетом коэффициента пересчета ( инфляционного изменения) .Приложениек приказу Комитета города Москвыпо ценовой политике в строительствеи государственной экспертизе проектов  от 24.12.2021 г. № МКЭ-ОД/21-100 ,на 4 квартал 2022г. К=4,882</t>
  </si>
  <si>
    <t>(а+ в * Х) *1,15*1,2</t>
  </si>
  <si>
    <t xml:space="preserve">Автоматические установки пожарной сигнализации, защищающие объект S=91,4 кв.м </t>
  </si>
  <si>
    <t>Всего по смете с НДС 20%:</t>
  </si>
  <si>
    <t>"_____"________2022_ г.</t>
  </si>
  <si>
    <t>Заказчик ГБУК г. Москвы "ОКЦ ЦАО"</t>
  </si>
  <si>
    <t>ДК Гайдаровец, г. Москва, Новослободская  73, стр. 1</t>
  </si>
  <si>
    <t>ДК Гайдаровец, г. Москва, Лялин пер. 11-13/1, стр. 1</t>
  </si>
  <si>
    <t xml:space="preserve">Автоматические установки пожарной сигнализации, защищающие объект S=118,5 кв.м </t>
  </si>
  <si>
    <t xml:space="preserve">МРР-5.3-16.  табл .3.3  , п.4                                                                  
К=1,15 - Проектирование установок пожарной сигнализации, совмещенных с ручными пожарными извещателями
К=1,2 п.7
</t>
  </si>
  <si>
    <t>Гайдаровец, г. Москва, Земляной Вал, д. 24/32, стр. 1</t>
  </si>
  <si>
    <t xml:space="preserve">Автоматические установки пожарной сигнализации, защищающие объект S=292,5 кв.м </t>
  </si>
  <si>
    <t>Заказчик ГБУК г. Моосквы "ОКЦ ЦАО"</t>
  </si>
  <si>
    <t>ДК Гайдаровец, г. Москва, Земляной Вал 27 стр.3</t>
  </si>
  <si>
    <t xml:space="preserve">Автоматические установки пожарной сигнализации, защищающие объект S=1267 кв.м </t>
  </si>
  <si>
    <t>Всего по смете с НДС20%:</t>
  </si>
  <si>
    <t>ДК Гайдаровец, г. Москва, Большой Казенный пер., д. 8, стр.2</t>
  </si>
  <si>
    <t xml:space="preserve">Автоматические установки пожарной сигнализации, защищающие объект S=38,6 кв.м </t>
  </si>
  <si>
    <t>ДК Гайдаровец, г. Москва, Староконюшенный пер.37</t>
  </si>
  <si>
    <t xml:space="preserve">Автоматические установки пожарной сигнализации, защищающие объект S=68,58 кв.м </t>
  </si>
  <si>
    <r>
      <rPr>
        <sz val="13"/>
        <rFont val="Arial"/>
        <family val="2"/>
        <charset val="204"/>
      </rPr>
      <t>МРР-5.3-16.  табл .3.3  , п.4                                                                  
К=1,15 - Проектирование установок пожарной сигнализации, совмещенных с ручными пожарными извещателями
К=1,2 п.7</t>
    </r>
    <r>
      <rPr>
        <sz val="13"/>
        <color rgb="FFFF0000"/>
        <rFont val="Arial"/>
        <family val="2"/>
        <charset val="20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</si>
</sst>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8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8"/>
      <color rgb="FF000000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6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i/>
      <sz val="12"/>
      <color rgb="FF000000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sz val="12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sz val="12"/>
      <name val="Arial"/>
      <family val="2"/>
      <charset val="204"/>
    </font>
    <font>
      <b/>
      <sz val="1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rgb="FF000000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4"/>
      <color theme="1"/>
      <name val="Arial"/>
      <family val="2"/>
      <charset val="204"/>
    </font>
    <font>
      <sz val="14"/>
      <name val="Arial"/>
      <family val="2"/>
      <charset val="204"/>
    </font>
    <font>
      <sz val="1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name val="Calibri"/>
      <family val="2"/>
      <charset val="204"/>
    </font>
    <font>
      <b/>
      <sz val="14"/>
      <name val="Arial"/>
      <family val="2"/>
      <charset val="204"/>
    </font>
    <font>
      <sz val="13.5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sz val="13.5"/>
      <color theme="1"/>
      <name val="Arial"/>
      <family val="2"/>
      <charset val="204"/>
    </font>
    <font>
      <sz val="13"/>
      <name val="Arial"/>
      <family val="2"/>
      <charset val="204"/>
    </font>
    <font>
      <sz val="13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22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3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2" fillId="0" borderId="0">
      <alignment horizontal="right" vertical="center"/>
    </xf>
    <xf numFmtId="0" fontId="3" fillId="0" borderId="0">
      <alignment horizontal="left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5" fillId="0" borderId="0">
      <alignment horizontal="center" vertical="center"/>
    </xf>
    <xf numFmtId="0" fontId="4" fillId="0" borderId="0">
      <alignment horizontal="left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right" vertical="center"/>
    </xf>
    <xf numFmtId="0" fontId="4" fillId="0" borderId="0">
      <alignment horizontal="center" vertical="center"/>
    </xf>
    <xf numFmtId="0" fontId="4" fillId="0" borderId="0">
      <alignment horizontal="left" vertical="top"/>
    </xf>
    <xf numFmtId="0" fontId="4" fillId="0" borderId="0">
      <alignment horizontal="right" vertical="center"/>
    </xf>
    <xf numFmtId="0" fontId="4" fillId="0" borderId="0">
      <alignment horizontal="left" vertical="center"/>
    </xf>
    <xf numFmtId="0" fontId="4" fillId="0" borderId="0">
      <alignment horizontal="left" vertical="top"/>
    </xf>
    <xf numFmtId="0" fontId="6" fillId="0" borderId="0">
      <alignment horizontal="left" vertical="top"/>
    </xf>
    <xf numFmtId="0" fontId="7" fillId="0" borderId="0">
      <alignment horizontal="center" vertical="center"/>
    </xf>
    <xf numFmtId="0" fontId="5" fillId="0" borderId="0">
      <alignment horizontal="left" vertical="top"/>
    </xf>
    <xf numFmtId="0" fontId="4" fillId="0" borderId="0">
      <alignment horizontal="left" vertical="top"/>
    </xf>
    <xf numFmtId="0" fontId="4" fillId="0" borderId="0">
      <alignment horizontal="left" vertical="top"/>
    </xf>
    <xf numFmtId="0" fontId="5" fillId="0" borderId="0">
      <alignment horizontal="left" vertical="top"/>
    </xf>
    <xf numFmtId="0" fontId="4" fillId="0" borderId="0">
      <alignment horizontal="center" vertical="center"/>
    </xf>
    <xf numFmtId="0" fontId="1" fillId="0" borderId="0"/>
    <xf numFmtId="164" fontId="1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1" fillId="0" borderId="0" xfId="23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10" fillId="0" borderId="0" xfId="13" quotePrefix="1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4" fillId="0" borderId="0" xfId="2" applyFont="1" applyAlignment="1">
      <alignment horizontal="left" vertical="center" wrapText="1"/>
    </xf>
    <xf numFmtId="0" fontId="15" fillId="0" borderId="0" xfId="1" quotePrefix="1" applyFont="1" applyAlignment="1">
      <alignment horizontal="right" vertical="center" wrapText="1"/>
    </xf>
    <xf numFmtId="0" fontId="15" fillId="0" borderId="0" xfId="1" applyFont="1" applyAlignment="1">
      <alignment horizontal="right" vertical="center" wrapText="1"/>
    </xf>
    <xf numFmtId="0" fontId="16" fillId="0" borderId="0" xfId="0" applyFont="1" applyAlignment="1">
      <alignment wrapText="1"/>
    </xf>
    <xf numFmtId="0" fontId="14" fillId="0" borderId="0" xfId="13" applyFont="1" applyAlignment="1">
      <alignment vertical="center" wrapText="1"/>
    </xf>
    <xf numFmtId="0" fontId="17" fillId="0" borderId="0" xfId="13" quotePrefix="1" applyFont="1" applyAlignment="1">
      <alignment horizontal="center" vertical="center" wrapText="1"/>
    </xf>
    <xf numFmtId="0" fontId="14" fillId="0" borderId="0" xfId="13" applyFont="1" applyAlignment="1">
      <alignment horizontal="left" vertical="center" wrapText="1"/>
    </xf>
    <xf numFmtId="0" fontId="14" fillId="0" borderId="11" xfId="13" applyFont="1" applyBorder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0" fontId="18" fillId="0" borderId="0" xfId="0" applyFont="1" applyAlignment="1">
      <alignment wrapText="1"/>
    </xf>
    <xf numFmtId="164" fontId="16" fillId="0" borderId="0" xfId="23" applyFont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4" fillId="0" borderId="0" xfId="13" applyFont="1" applyAlignment="1">
      <alignment horizontal="left" vertical="center" wrapText="1"/>
    </xf>
    <xf numFmtId="0" fontId="25" fillId="0" borderId="0" xfId="0" applyFont="1" applyAlignment="1">
      <alignment wrapText="1"/>
    </xf>
    <xf numFmtId="0" fontId="24" fillId="0" borderId="2" xfId="4" applyNumberFormat="1" applyFont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164" fontId="24" fillId="0" borderId="4" xfId="23" applyFont="1" applyBorder="1" applyAlignment="1">
      <alignment horizontal="center" vertical="center" wrapText="1"/>
    </xf>
    <xf numFmtId="164" fontId="25" fillId="0" borderId="0" xfId="23" applyFont="1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wrapText="1"/>
    </xf>
    <xf numFmtId="0" fontId="14" fillId="0" borderId="0" xfId="13" applyFont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vertical="top" wrapText="1"/>
    </xf>
    <xf numFmtId="0" fontId="29" fillId="0" borderId="0" xfId="0" applyFont="1" applyAlignment="1">
      <alignment wrapText="1"/>
    </xf>
    <xf numFmtId="164" fontId="26" fillId="0" borderId="0" xfId="23" applyFont="1" applyAlignment="1">
      <alignment wrapText="1"/>
    </xf>
    <xf numFmtId="0" fontId="35" fillId="0" borderId="0" xfId="0" applyFont="1" applyAlignment="1">
      <alignment wrapText="1"/>
    </xf>
    <xf numFmtId="0" fontId="35" fillId="0" borderId="0" xfId="0" applyFont="1" applyAlignment="1">
      <alignment vertical="top" wrapText="1"/>
    </xf>
    <xf numFmtId="0" fontId="20" fillId="0" borderId="0" xfId="0" applyFont="1" applyAlignment="1">
      <alignment wrapText="1"/>
    </xf>
    <xf numFmtId="164" fontId="35" fillId="0" borderId="0" xfId="23" applyFont="1" applyAlignment="1">
      <alignment wrapText="1"/>
    </xf>
    <xf numFmtId="0" fontId="24" fillId="0" borderId="0" xfId="14" quotePrefix="1" applyFont="1" applyAlignment="1">
      <alignment horizontal="left" vertical="top" wrapText="1"/>
    </xf>
    <xf numFmtId="0" fontId="24" fillId="0" borderId="0" xfId="14" applyFont="1" applyAlignment="1">
      <alignment horizontal="left" vertical="top" wrapText="1"/>
    </xf>
    <xf numFmtId="0" fontId="16" fillId="3" borderId="0" xfId="0" applyFont="1" applyFill="1" applyAlignment="1">
      <alignment wrapText="1"/>
    </xf>
    <xf numFmtId="0" fontId="25" fillId="3" borderId="0" xfId="0" applyFont="1" applyFill="1" applyAlignment="1">
      <alignment wrapText="1"/>
    </xf>
    <xf numFmtId="0" fontId="16" fillId="3" borderId="0" xfId="0" applyFont="1" applyFill="1" applyAlignment="1">
      <alignment vertical="top" wrapText="1"/>
    </xf>
    <xf numFmtId="0" fontId="18" fillId="3" borderId="0" xfId="0" applyFont="1" applyFill="1" applyAlignment="1">
      <alignment wrapText="1"/>
    </xf>
    <xf numFmtId="164" fontId="16" fillId="3" borderId="0" xfId="23" applyFont="1" applyFill="1" applyAlignment="1">
      <alignment wrapText="1"/>
    </xf>
    <xf numFmtId="0" fontId="24" fillId="3" borderId="2" xfId="21" quotePrefix="1" applyFont="1" applyFill="1" applyBorder="1" applyAlignment="1">
      <alignment horizontal="center" vertical="center" wrapText="1"/>
    </xf>
    <xf numFmtId="0" fontId="24" fillId="3" borderId="2" xfId="3" quotePrefix="1" applyFont="1" applyFill="1" applyBorder="1" applyAlignment="1">
      <alignment horizontal="center" vertical="center" wrapText="1"/>
    </xf>
    <xf numFmtId="164" fontId="24" fillId="3" borderId="5" xfId="23" quotePrefix="1" applyFont="1" applyFill="1" applyBorder="1" applyAlignment="1">
      <alignment horizontal="center" vertical="center" wrapText="1"/>
    </xf>
    <xf numFmtId="0" fontId="37" fillId="0" borderId="4" xfId="6" quotePrefix="1" applyFont="1" applyFill="1" applyBorder="1" applyAlignment="1">
      <alignment horizontal="left" vertical="center" wrapText="1"/>
    </xf>
    <xf numFmtId="0" fontId="37" fillId="0" borderId="4" xfId="7" quotePrefix="1" applyFont="1" applyFill="1" applyBorder="1" applyAlignment="1">
      <alignment horizontal="center" vertical="center" wrapText="1"/>
    </xf>
    <xf numFmtId="0" fontId="37" fillId="0" borderId="4" xfId="8" applyNumberFormat="1" applyFont="1" applyFill="1" applyBorder="1" applyAlignment="1">
      <alignment horizontal="center" vertical="center" wrapText="1"/>
    </xf>
    <xf numFmtId="0" fontId="38" fillId="0" borderId="4" xfId="6" quotePrefix="1" applyFont="1" applyBorder="1" applyAlignment="1">
      <alignment horizontal="left" vertical="center" wrapText="1"/>
    </xf>
    <xf numFmtId="0" fontId="38" fillId="0" borderId="4" xfId="7" quotePrefix="1" applyFont="1" applyBorder="1" applyAlignment="1">
      <alignment horizontal="center" vertical="center" wrapText="1"/>
    </xf>
    <xf numFmtId="0" fontId="38" fillId="0" borderId="4" xfId="8" applyNumberFormat="1" applyFont="1" applyBorder="1" applyAlignment="1">
      <alignment horizontal="center" vertical="center" wrapText="1"/>
    </xf>
    <xf numFmtId="0" fontId="38" fillId="0" borderId="4" xfId="6" applyFont="1" applyBorder="1" applyAlignment="1">
      <alignment horizontal="left" vertical="top" wrapText="1"/>
    </xf>
    <xf numFmtId="0" fontId="24" fillId="0" borderId="0" xfId="2" quotePrefix="1" applyFont="1" applyAlignment="1">
      <alignment horizontal="left" vertical="center" wrapText="1"/>
    </xf>
    <xf numFmtId="0" fontId="24" fillId="0" borderId="0" xfId="13" quotePrefix="1" applyFont="1" applyAlignment="1">
      <alignment vertical="center" wrapText="1"/>
    </xf>
    <xf numFmtId="0" fontId="24" fillId="0" borderId="0" xfId="13" quotePrefix="1" applyFont="1" applyAlignment="1">
      <alignment horizontal="left" vertical="center" wrapText="1"/>
    </xf>
    <xf numFmtId="0" fontId="29" fillId="0" borderId="4" xfId="6" quotePrefix="1" applyFont="1" applyFill="1" applyBorder="1" applyAlignment="1">
      <alignment horizontal="left" vertical="center" wrapText="1"/>
    </xf>
    <xf numFmtId="0" fontId="24" fillId="0" borderId="4" xfId="6" quotePrefix="1" applyFont="1" applyBorder="1" applyAlignment="1">
      <alignment horizontal="left" vertical="center" wrapText="1"/>
    </xf>
    <xf numFmtId="0" fontId="29" fillId="0" borderId="3" xfId="12" quotePrefix="1" applyFont="1" applyBorder="1" applyAlignment="1">
      <alignment horizontal="right" vertical="center" wrapText="1"/>
    </xf>
    <xf numFmtId="0" fontId="29" fillId="0" borderId="1" xfId="12" quotePrefix="1" applyFont="1" applyBorder="1" applyAlignment="1">
      <alignment horizontal="right" vertical="center" wrapText="1"/>
    </xf>
    <xf numFmtId="0" fontId="31" fillId="3" borderId="15" xfId="0" applyFon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4" fillId="0" borderId="5" xfId="4" applyNumberFormat="1" applyFont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2" fontId="25" fillId="3" borderId="10" xfId="0" applyNumberFormat="1" applyFont="1" applyFill="1" applyBorder="1" applyAlignment="1">
      <alignment horizontal="center" vertical="center" wrapText="1"/>
    </xf>
    <xf numFmtId="2" fontId="25" fillId="3" borderId="4" xfId="0" applyNumberFormat="1" applyFont="1" applyFill="1" applyBorder="1" applyAlignment="1">
      <alignment horizontal="center" vertical="center" wrapText="1"/>
    </xf>
    <xf numFmtId="0" fontId="25" fillId="3" borderId="0" xfId="0" applyFont="1" applyFill="1" applyAlignment="1">
      <alignment wrapText="1"/>
    </xf>
    <xf numFmtId="164" fontId="29" fillId="0" borderId="4" xfId="23" applyFont="1" applyFill="1" applyBorder="1" applyAlignment="1">
      <alignment horizontal="center" vertical="center" wrapText="1"/>
    </xf>
    <xf numFmtId="2" fontId="30" fillId="3" borderId="10" xfId="0" applyNumberFormat="1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2" fontId="30" fillId="3" borderId="4" xfId="0" applyNumberFormat="1" applyFont="1" applyFill="1" applyBorder="1" applyAlignment="1">
      <alignment horizontal="center" vertical="center" wrapText="1"/>
    </xf>
    <xf numFmtId="0" fontId="24" fillId="0" borderId="4" xfId="11" quotePrefix="1" applyFont="1" applyBorder="1" applyAlignment="1">
      <alignment horizontal="left" vertical="top" wrapText="1"/>
    </xf>
    <xf numFmtId="164" fontId="24" fillId="0" borderId="18" xfId="23" applyFont="1" applyBorder="1" applyAlignment="1">
      <alignment horizontal="right" vertical="center" wrapText="1"/>
    </xf>
    <xf numFmtId="164" fontId="24" fillId="0" borderId="9" xfId="23" applyFont="1" applyBorder="1" applyAlignment="1">
      <alignment horizontal="right" vertical="center" wrapText="1"/>
    </xf>
    <xf numFmtId="164" fontId="39" fillId="0" borderId="9" xfId="23" applyFont="1" applyBorder="1" applyAlignment="1">
      <alignment horizontal="right" vertical="center" wrapText="1"/>
    </xf>
    <xf numFmtId="0" fontId="26" fillId="0" borderId="0" xfId="0" applyFont="1" applyAlignment="1">
      <alignment wrapText="1"/>
    </xf>
    <xf numFmtId="0" fontId="0" fillId="0" borderId="0" xfId="0" applyAlignment="1">
      <alignment wrapText="1"/>
    </xf>
    <xf numFmtId="0" fontId="24" fillId="0" borderId="0" xfId="14" quotePrefix="1" applyFont="1" applyAlignment="1">
      <alignment horizontal="left" vertical="top" wrapText="1"/>
    </xf>
    <xf numFmtId="0" fontId="24" fillId="0" borderId="0" xfId="14" applyFont="1" applyAlignment="1">
      <alignment horizontal="left" vertical="top" wrapText="1"/>
    </xf>
    <xf numFmtId="0" fontId="25" fillId="3" borderId="0" xfId="0" applyFont="1" applyFill="1" applyAlignment="1">
      <alignment wrapText="1"/>
    </xf>
    <xf numFmtId="0" fontId="14" fillId="0" borderId="0" xfId="2" applyFont="1" applyAlignment="1">
      <alignment horizontal="left" vertical="center" wrapText="1"/>
    </xf>
    <xf numFmtId="0" fontId="15" fillId="0" borderId="0" xfId="1" quotePrefix="1" applyFont="1" applyAlignment="1">
      <alignment horizontal="right" vertical="center" wrapText="1"/>
    </xf>
    <xf numFmtId="0" fontId="15" fillId="0" borderId="0" xfId="1" applyFont="1" applyAlignment="1">
      <alignment horizontal="right" vertical="center" wrapText="1"/>
    </xf>
    <xf numFmtId="0" fontId="17" fillId="0" borderId="0" xfId="13" quotePrefix="1" applyFont="1" applyAlignment="1">
      <alignment horizontal="center" vertical="center" wrapText="1"/>
    </xf>
    <xf numFmtId="0" fontId="40" fillId="0" borderId="0" xfId="0" applyFont="1" applyAlignment="1">
      <alignment horizontal="center" wrapText="1"/>
    </xf>
    <xf numFmtId="0" fontId="37" fillId="3" borderId="4" xfId="6" applyFont="1" applyFill="1" applyBorder="1" applyAlignment="1">
      <alignment horizontal="left" vertical="top" wrapText="1"/>
    </xf>
    <xf numFmtId="0" fontId="14" fillId="0" borderId="0" xfId="2" applyFont="1" applyAlignment="1">
      <alignment horizontal="left" vertical="center" wrapText="1"/>
    </xf>
    <xf numFmtId="0" fontId="15" fillId="0" borderId="0" xfId="1" quotePrefix="1" applyFont="1" applyAlignment="1">
      <alignment horizontal="right" vertical="center" wrapText="1"/>
    </xf>
    <xf numFmtId="0" fontId="15" fillId="0" borderId="0" xfId="1" applyFont="1" applyAlignment="1">
      <alignment horizontal="right" vertical="center" wrapText="1"/>
    </xf>
    <xf numFmtId="0" fontId="17" fillId="0" borderId="0" xfId="13" quotePrefix="1" applyFont="1" applyAlignment="1">
      <alignment horizontal="center" vertical="center" wrapText="1"/>
    </xf>
    <xf numFmtId="0" fontId="0" fillId="0" borderId="0" xfId="0" applyAlignment="1">
      <alignment wrapText="1"/>
    </xf>
    <xf numFmtId="0" fontId="26" fillId="0" borderId="0" xfId="0" applyFont="1" applyAlignment="1">
      <alignment wrapText="1"/>
    </xf>
    <xf numFmtId="0" fontId="24" fillId="0" borderId="0" xfId="14" quotePrefix="1" applyFont="1" applyAlignment="1">
      <alignment horizontal="left" vertical="top" wrapText="1"/>
    </xf>
    <xf numFmtId="0" fontId="24" fillId="0" borderId="0" xfId="14" applyFont="1" applyAlignment="1">
      <alignment horizontal="left" vertical="top" wrapText="1"/>
    </xf>
    <xf numFmtId="0" fontId="25" fillId="3" borderId="0" xfId="0" applyFont="1" applyFill="1" applyAlignment="1">
      <alignment wrapText="1"/>
    </xf>
    <xf numFmtId="0" fontId="43" fillId="3" borderId="4" xfId="6" applyFont="1" applyFill="1" applyBorder="1" applyAlignment="1">
      <alignment horizontal="left" vertical="top" wrapText="1"/>
    </xf>
    <xf numFmtId="0" fontId="26" fillId="0" borderId="0" xfId="0" applyFont="1" applyAlignment="1">
      <alignment wrapText="1"/>
    </xf>
    <xf numFmtId="0" fontId="0" fillId="0" borderId="0" xfId="0" applyAlignment="1">
      <alignment wrapText="1"/>
    </xf>
    <xf numFmtId="0" fontId="42" fillId="0" borderId="0" xfId="0" applyFont="1" applyAlignment="1">
      <alignment horizontal="center" wrapText="1"/>
    </xf>
    <xf numFmtId="0" fontId="40" fillId="0" borderId="0" xfId="0" applyFont="1" applyAlignment="1">
      <alignment horizontal="center" wrapText="1"/>
    </xf>
    <xf numFmtId="0" fontId="4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4" fillId="0" borderId="1" xfId="11" quotePrefix="1" applyFont="1" applyBorder="1" applyAlignment="1">
      <alignment horizontal="left" vertical="top" wrapText="1"/>
    </xf>
    <xf numFmtId="0" fontId="14" fillId="0" borderId="1" xfId="11" applyFont="1" applyBorder="1" applyAlignment="1">
      <alignment horizontal="left" vertical="top" wrapText="1"/>
    </xf>
    <xf numFmtId="0" fontId="38" fillId="0" borderId="1" xfId="11" quotePrefix="1" applyFont="1" applyBorder="1" applyAlignment="1">
      <alignment horizontal="left" vertical="top" wrapText="1"/>
    </xf>
    <xf numFmtId="0" fontId="38" fillId="0" borderId="1" xfId="11" applyFont="1" applyBorder="1" applyAlignment="1">
      <alignment horizontal="left" vertical="top" wrapText="1"/>
    </xf>
    <xf numFmtId="0" fontId="23" fillId="0" borderId="0" xfId="0" applyFont="1" applyAlignment="1">
      <alignment horizontal="left" wrapText="1"/>
    </xf>
    <xf numFmtId="0" fontId="24" fillId="0" borderId="0" xfId="14" quotePrefix="1" applyFont="1" applyAlignment="1">
      <alignment horizontal="left" vertical="top" wrapText="1"/>
    </xf>
    <xf numFmtId="0" fontId="24" fillId="0" borderId="0" xfId="14" applyFont="1" applyAlignment="1">
      <alignment horizontal="left" vertical="top" wrapText="1"/>
    </xf>
    <xf numFmtId="0" fontId="29" fillId="3" borderId="8" xfId="21" quotePrefix="1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vertical="center" wrapText="1"/>
    </xf>
    <xf numFmtId="0" fontId="29" fillId="0" borderId="8" xfId="4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13" fillId="0" borderId="0" xfId="5" quotePrefix="1" applyFont="1" applyBorder="1" applyAlignment="1">
      <alignment horizontal="center" vertical="center" wrapText="1"/>
    </xf>
    <xf numFmtId="0" fontId="13" fillId="0" borderId="0" xfId="5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29" fillId="0" borderId="4" xfId="6" quotePrefix="1" applyFont="1" applyFill="1" applyBorder="1" applyAlignment="1">
      <alignment horizontal="center" vertical="center" wrapText="1"/>
    </xf>
    <xf numFmtId="0" fontId="30" fillId="0" borderId="4" xfId="0" applyFont="1" applyFill="1" applyBorder="1" applyAlignment="1">
      <alignment horizontal="center" vertical="center" wrapText="1"/>
    </xf>
    <xf numFmtId="0" fontId="29" fillId="0" borderId="4" xfId="6" applyFont="1" applyFill="1" applyBorder="1" applyAlignment="1">
      <alignment horizontal="center" vertical="center" wrapText="1"/>
    </xf>
    <xf numFmtId="0" fontId="19" fillId="3" borderId="0" xfId="17" quotePrefix="1" applyFont="1" applyFill="1" applyAlignment="1">
      <alignment horizontal="left" vertical="top" wrapText="1"/>
    </xf>
    <xf numFmtId="0" fontId="19" fillId="3" borderId="0" xfId="17" applyFont="1" applyFill="1" applyAlignment="1">
      <alignment horizontal="left" vertical="top" wrapText="1"/>
    </xf>
    <xf numFmtId="0" fontId="26" fillId="3" borderId="0" xfId="19" quotePrefix="1" applyFont="1" applyFill="1" applyAlignment="1">
      <alignment horizontal="left" vertical="top" wrapText="1"/>
    </xf>
    <xf numFmtId="0" fontId="26" fillId="3" borderId="0" xfId="19" applyFont="1" applyFill="1" applyAlignment="1">
      <alignment horizontal="left" vertical="top" wrapText="1"/>
    </xf>
    <xf numFmtId="0" fontId="25" fillId="3" borderId="0" xfId="0" applyFont="1" applyFill="1" applyAlignment="1">
      <alignment wrapText="1"/>
    </xf>
    <xf numFmtId="0" fontId="29" fillId="3" borderId="0" xfId="18" applyFont="1" applyFill="1" applyAlignment="1">
      <alignment horizontal="left" vertical="top" wrapText="1"/>
    </xf>
    <xf numFmtId="0" fontId="19" fillId="3" borderId="0" xfId="20" quotePrefix="1" applyFont="1" applyFill="1" applyAlignment="1">
      <alignment horizontal="left" vertical="top" wrapText="1"/>
    </xf>
    <xf numFmtId="0" fontId="19" fillId="3" borderId="0" xfId="20" applyFont="1" applyFill="1" applyAlignment="1">
      <alignment horizontal="left" vertical="top" wrapText="1"/>
    </xf>
    <xf numFmtId="0" fontId="24" fillId="0" borderId="0" xfId="19" applyFont="1" applyFill="1" applyAlignment="1">
      <alignment horizontal="left" vertical="top" wrapText="1"/>
    </xf>
    <xf numFmtId="0" fontId="25" fillId="0" borderId="0" xfId="0" applyFont="1" applyFill="1" applyAlignment="1">
      <alignment wrapText="1"/>
    </xf>
    <xf numFmtId="0" fontId="34" fillId="0" borderId="0" xfId="13" applyFont="1" applyBorder="1" applyAlignment="1">
      <alignment horizontal="left" vertical="center" wrapText="1"/>
    </xf>
    <xf numFmtId="0" fontId="11" fillId="3" borderId="0" xfId="16" quotePrefix="1" applyFont="1" applyFill="1" applyAlignment="1">
      <alignment horizontal="center" vertical="center" wrapText="1"/>
    </xf>
    <xf numFmtId="0" fontId="11" fillId="3" borderId="0" xfId="16" applyFont="1" applyFill="1" applyAlignment="1">
      <alignment horizontal="center" vertical="center" wrapText="1"/>
    </xf>
    <xf numFmtId="0" fontId="29" fillId="3" borderId="0" xfId="19" quotePrefix="1" applyFont="1" applyFill="1" applyAlignment="1">
      <alignment horizontal="left" vertical="top" wrapText="1"/>
    </xf>
    <xf numFmtId="0" fontId="29" fillId="3" borderId="0" xfId="19" applyFont="1" applyFill="1" applyAlignment="1">
      <alignment horizontal="left" vertical="top" wrapText="1"/>
    </xf>
    <xf numFmtId="0" fontId="33" fillId="0" borderId="0" xfId="13" applyFont="1" applyAlignment="1">
      <alignment horizontal="center" vertical="center" wrapText="1"/>
    </xf>
    <xf numFmtId="0" fontId="17" fillId="0" borderId="0" xfId="13" quotePrefix="1" applyFont="1" applyAlignment="1">
      <alignment horizontal="center" vertical="center" wrapText="1"/>
    </xf>
    <xf numFmtId="0" fontId="34" fillId="0" borderId="0" xfId="13" applyFont="1" applyAlignment="1">
      <alignment horizontal="left" vertical="center" wrapText="1"/>
    </xf>
    <xf numFmtId="0" fontId="36" fillId="0" borderId="0" xfId="0" applyFont="1" applyAlignment="1">
      <alignment wrapText="1"/>
    </xf>
    <xf numFmtId="0" fontId="15" fillId="0" borderId="0" xfId="1" quotePrefix="1" applyFont="1" applyAlignment="1">
      <alignment horizontal="right" vertical="center" wrapText="1"/>
    </xf>
    <xf numFmtId="0" fontId="15" fillId="0" borderId="0" xfId="1" applyFont="1" applyAlignment="1">
      <alignment horizontal="right" vertical="center" wrapText="1"/>
    </xf>
    <xf numFmtId="0" fontId="14" fillId="0" borderId="0" xfId="2" quotePrefix="1" applyFont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</cellXfs>
  <cellStyles count="24">
    <cellStyle name="S0" xfId="1" xr:uid="{00000000-0005-0000-0000-000000000000}"/>
    <cellStyle name="S1" xfId="2" xr:uid="{00000000-0005-0000-0000-000001000000}"/>
    <cellStyle name="S10" xfId="3" xr:uid="{00000000-0005-0000-0000-000002000000}"/>
    <cellStyle name="S11" xfId="4" xr:uid="{00000000-0005-0000-0000-000003000000}"/>
    <cellStyle name="S12" xfId="5" xr:uid="{00000000-0005-0000-0000-000004000000}"/>
    <cellStyle name="S13" xfId="6" xr:uid="{00000000-0005-0000-0000-000005000000}"/>
    <cellStyle name="S14" xfId="7" xr:uid="{00000000-0005-0000-0000-000006000000}"/>
    <cellStyle name="S15" xfId="8" xr:uid="{00000000-0005-0000-0000-000007000000}"/>
    <cellStyle name="S16" xfId="9" xr:uid="{00000000-0005-0000-0000-000008000000}"/>
    <cellStyle name="S17" xfId="10" xr:uid="{00000000-0005-0000-0000-000009000000}"/>
    <cellStyle name="S18" xfId="11" xr:uid="{00000000-0005-0000-0000-00000A000000}"/>
    <cellStyle name="S19" xfId="12" xr:uid="{00000000-0005-0000-0000-00000B000000}"/>
    <cellStyle name="S2" xfId="13" xr:uid="{00000000-0005-0000-0000-00000C000000}"/>
    <cellStyle name="S20" xfId="14" xr:uid="{00000000-0005-0000-0000-00000D000000}"/>
    <cellStyle name="S3" xfId="15" xr:uid="{00000000-0005-0000-0000-00000E000000}"/>
    <cellStyle name="S4" xfId="16" xr:uid="{00000000-0005-0000-0000-00000F000000}"/>
    <cellStyle name="S5" xfId="17" xr:uid="{00000000-0005-0000-0000-000010000000}"/>
    <cellStyle name="S6" xfId="18" xr:uid="{00000000-0005-0000-0000-000011000000}"/>
    <cellStyle name="S7" xfId="19" xr:uid="{00000000-0005-0000-0000-000012000000}"/>
    <cellStyle name="S8" xfId="20" xr:uid="{00000000-0005-0000-0000-000013000000}"/>
    <cellStyle name="S9" xfId="21" xr:uid="{00000000-0005-0000-0000-000014000000}"/>
    <cellStyle name="Обычный" xfId="0" builtinId="0"/>
    <cellStyle name="Обычный 2" xfId="22" xr:uid="{00000000-0005-0000-0000-000016000000}"/>
    <cellStyle name="Финансовый" xfId="2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2"/>
  <sheetViews>
    <sheetView tabSelected="1" view="pageBreakPreview" topLeftCell="A184" zoomScale="70" zoomScaleNormal="70" zoomScaleSheetLayoutView="70" workbookViewId="0">
      <selection activeCell="L228" sqref="L228"/>
    </sheetView>
  </sheetViews>
  <sheetFormatPr defaultColWidth="8.85546875" defaultRowHeight="18.75" x14ac:dyDescent="0.3"/>
  <cols>
    <col min="1" max="2" width="8.85546875" style="1"/>
    <col min="3" max="3" width="4.5703125" style="25" customWidth="1"/>
    <col min="4" max="4" width="33.7109375" style="1" customWidth="1"/>
    <col min="5" max="5" width="12" style="1" customWidth="1"/>
    <col min="6" max="6" width="8.7109375" style="1" customWidth="1"/>
    <col min="7" max="7" width="47.28515625" style="2" customWidth="1"/>
    <col min="8" max="8" width="8.7109375" style="4" customWidth="1"/>
    <col min="9" max="9" width="10.7109375" style="4" customWidth="1"/>
    <col min="10" max="10" width="17.28515625" style="3" customWidth="1"/>
    <col min="11" max="11" width="13.5703125" style="1" customWidth="1"/>
    <col min="12" max="12" width="15" style="1" customWidth="1"/>
    <col min="13" max="13" width="13.85546875" style="1" customWidth="1"/>
    <col min="14" max="14" width="20.140625" style="1" hidden="1" customWidth="1"/>
    <col min="15" max="15" width="16.85546875" style="1" customWidth="1"/>
    <col min="16" max="16384" width="8.85546875" style="1"/>
  </cols>
  <sheetData>
    <row r="1" spans="1:14" s="87" customFormat="1" ht="20.25" customHeight="1" x14ac:dyDescent="0.3">
      <c r="C1" s="25"/>
      <c r="G1" s="2"/>
      <c r="H1" s="4"/>
      <c r="I1" s="4"/>
      <c r="J1" s="109"/>
      <c r="K1" s="110"/>
      <c r="L1" s="110"/>
      <c r="M1" s="110"/>
    </row>
    <row r="2" spans="1:14" s="87" customFormat="1" ht="20.25" customHeight="1" x14ac:dyDescent="0.3">
      <c r="C2" s="25"/>
      <c r="G2" s="2"/>
      <c r="H2" s="4"/>
      <c r="I2" s="4"/>
      <c r="J2" s="109"/>
      <c r="K2" s="110"/>
      <c r="L2" s="110"/>
      <c r="M2" s="110"/>
    </row>
    <row r="3" spans="1:14" ht="74.25" customHeight="1" x14ac:dyDescent="0.3">
      <c r="J3" s="110"/>
      <c r="K3" s="110"/>
      <c r="L3" s="110"/>
      <c r="M3" s="110"/>
    </row>
    <row r="4" spans="1:14" s="87" customFormat="1" ht="74.25" customHeight="1" x14ac:dyDescent="0.4">
      <c r="C4" s="25"/>
      <c r="G4" s="2"/>
      <c r="H4" s="4"/>
      <c r="I4" s="4"/>
      <c r="J4" s="95"/>
      <c r="K4" s="95"/>
      <c r="L4" s="95"/>
      <c r="M4" s="95"/>
    </row>
    <row r="5" spans="1:14" s="87" customFormat="1" ht="74.25" customHeight="1" x14ac:dyDescent="0.35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</row>
    <row r="6" spans="1:14" x14ac:dyDescent="0.3">
      <c r="K6" s="149" t="s">
        <v>0</v>
      </c>
      <c r="L6" s="150"/>
      <c r="M6" s="150"/>
    </row>
    <row r="8" spans="1:14" ht="16.149999999999999" customHeight="1" x14ac:dyDescent="0.25">
      <c r="C8" s="151"/>
      <c r="D8" s="152"/>
      <c r="E8" s="152"/>
      <c r="F8" s="152"/>
      <c r="G8" s="152"/>
      <c r="H8" s="1"/>
      <c r="I8" s="1"/>
      <c r="J8" s="1"/>
      <c r="K8" s="13"/>
      <c r="L8" s="13"/>
      <c r="M8" s="13"/>
      <c r="N8" s="13"/>
    </row>
    <row r="9" spans="1:14" ht="16.149999999999999" customHeight="1" x14ac:dyDescent="0.25">
      <c r="C9" s="61"/>
      <c r="D9" s="10"/>
      <c r="E9" s="10"/>
      <c r="F9" s="10"/>
      <c r="G9" s="10"/>
      <c r="H9" s="11"/>
      <c r="I9" s="12"/>
      <c r="J9" s="12"/>
      <c r="K9" s="13"/>
      <c r="L9" s="13"/>
      <c r="M9" s="13"/>
      <c r="N9" s="13"/>
    </row>
    <row r="10" spans="1:14" ht="16.149999999999999" customHeight="1" x14ac:dyDescent="0.25">
      <c r="C10" s="62"/>
      <c r="D10" s="14"/>
      <c r="E10" s="14"/>
      <c r="F10" s="14"/>
      <c r="G10" s="14"/>
      <c r="H10" s="145" t="s">
        <v>19</v>
      </c>
      <c r="I10" s="145"/>
      <c r="J10" s="145"/>
      <c r="K10" s="13"/>
      <c r="L10" s="13"/>
      <c r="M10" s="13"/>
      <c r="N10" s="13"/>
    </row>
    <row r="11" spans="1:14" ht="42.75" customHeight="1" x14ac:dyDescent="0.25">
      <c r="C11" s="146"/>
      <c r="D11" s="146"/>
      <c r="E11" s="146"/>
      <c r="F11" s="146"/>
      <c r="G11" s="146"/>
      <c r="H11" s="147" t="s">
        <v>40</v>
      </c>
      <c r="I11" s="147"/>
      <c r="J11" s="147"/>
      <c r="K11" s="13"/>
      <c r="L11" s="13"/>
      <c r="M11" s="13"/>
      <c r="N11" s="13"/>
    </row>
    <row r="12" spans="1:14" ht="31.5" customHeight="1" x14ac:dyDescent="0.25">
      <c r="C12" s="7"/>
      <c r="D12" s="15"/>
      <c r="E12" s="15"/>
      <c r="F12" s="15"/>
      <c r="G12" s="15"/>
      <c r="H12" s="147"/>
      <c r="I12" s="147"/>
      <c r="J12" s="147"/>
      <c r="K12" s="108"/>
      <c r="L12" s="13"/>
      <c r="M12" s="13"/>
      <c r="N12" s="13"/>
    </row>
    <row r="13" spans="1:14" ht="18.75" customHeight="1" x14ac:dyDescent="0.25">
      <c r="C13" s="63"/>
      <c r="D13" s="16"/>
      <c r="E13" s="16"/>
      <c r="F13" s="16"/>
      <c r="G13" s="16"/>
      <c r="H13" s="17"/>
      <c r="I13" s="17"/>
      <c r="J13" s="17"/>
      <c r="K13" s="148"/>
      <c r="L13" s="148"/>
      <c r="M13" s="13"/>
      <c r="N13" s="13"/>
    </row>
    <row r="14" spans="1:14" ht="18.75" customHeight="1" x14ac:dyDescent="0.25">
      <c r="C14" s="63"/>
      <c r="D14" s="24"/>
      <c r="E14" s="24"/>
      <c r="F14" s="24"/>
      <c r="G14" s="24"/>
      <c r="H14" s="35"/>
      <c r="I14" s="35"/>
      <c r="J14" s="35"/>
      <c r="K14" s="13"/>
      <c r="L14" s="13"/>
      <c r="M14" s="13"/>
      <c r="N14" s="13"/>
    </row>
    <row r="15" spans="1:14" ht="18.75" customHeight="1" x14ac:dyDescent="0.25">
      <c r="C15" s="63"/>
      <c r="D15" s="24"/>
      <c r="E15" s="24"/>
      <c r="F15" s="24"/>
      <c r="G15" s="24"/>
      <c r="H15" s="35"/>
      <c r="I15" s="35"/>
      <c r="J15" s="35"/>
      <c r="K15" s="22"/>
      <c r="L15" s="13"/>
      <c r="M15" s="13"/>
      <c r="N15" s="13"/>
    </row>
    <row r="16" spans="1:14" ht="16.149999999999999" customHeight="1" x14ac:dyDescent="0.25">
      <c r="C16" s="63"/>
      <c r="D16" s="16"/>
      <c r="E16" s="16"/>
      <c r="F16" s="16"/>
      <c r="G16" s="16"/>
      <c r="H16" s="140" t="s">
        <v>39</v>
      </c>
      <c r="I16" s="140"/>
      <c r="J16" s="140"/>
      <c r="K16" s="108"/>
      <c r="L16" s="108"/>
      <c r="M16" s="13"/>
      <c r="N16" s="13"/>
    </row>
    <row r="17" spans="3:16" ht="14.25" customHeight="1" x14ac:dyDescent="0.3">
      <c r="D17" s="13"/>
      <c r="E17" s="13"/>
      <c r="F17" s="13"/>
      <c r="G17" s="18"/>
      <c r="H17" s="19"/>
      <c r="I17" s="19"/>
      <c r="J17" s="20"/>
      <c r="K17" s="13"/>
      <c r="L17" s="13"/>
      <c r="M17" s="13"/>
      <c r="N17" s="13"/>
    </row>
    <row r="18" spans="3:16" ht="27" customHeight="1" x14ac:dyDescent="0.25">
      <c r="C18" s="141" t="s">
        <v>1</v>
      </c>
      <c r="D18" s="142"/>
      <c r="E18" s="142"/>
      <c r="F18" s="142"/>
      <c r="G18" s="142"/>
      <c r="H18" s="142"/>
      <c r="I18" s="142"/>
      <c r="J18" s="142"/>
      <c r="K18" s="46"/>
      <c r="L18" s="46"/>
      <c r="M18" s="13"/>
      <c r="N18" s="13"/>
    </row>
    <row r="19" spans="3:16" ht="73.5" customHeight="1" x14ac:dyDescent="0.3">
      <c r="C19" s="130" t="s">
        <v>25</v>
      </c>
      <c r="D19" s="131"/>
      <c r="E19" s="135" t="s">
        <v>41</v>
      </c>
      <c r="F19" s="135"/>
      <c r="G19" s="135"/>
      <c r="H19" s="135"/>
      <c r="I19" s="135"/>
      <c r="J19" s="135"/>
      <c r="K19" s="47"/>
      <c r="L19" s="47"/>
      <c r="M19" s="13"/>
      <c r="N19" s="13"/>
    </row>
    <row r="20" spans="3:16" ht="35.25" customHeight="1" x14ac:dyDescent="0.3">
      <c r="C20" s="130" t="s">
        <v>2</v>
      </c>
      <c r="D20" s="131"/>
      <c r="E20" s="143" t="s">
        <v>3</v>
      </c>
      <c r="F20" s="144"/>
      <c r="G20" s="144"/>
      <c r="H20" s="144"/>
      <c r="I20" s="144"/>
      <c r="J20" s="144"/>
      <c r="K20" s="77"/>
      <c r="L20" s="77"/>
      <c r="M20" s="13"/>
      <c r="N20" s="13"/>
    </row>
    <row r="21" spans="3:16" ht="47.25" customHeight="1" x14ac:dyDescent="0.3">
      <c r="C21" s="130" t="s">
        <v>4</v>
      </c>
      <c r="D21" s="131"/>
      <c r="E21" s="132" t="s">
        <v>26</v>
      </c>
      <c r="F21" s="133"/>
      <c r="G21" s="133"/>
      <c r="H21" s="133"/>
      <c r="I21" s="133"/>
      <c r="J21" s="133"/>
      <c r="K21" s="134"/>
      <c r="L21" s="134"/>
      <c r="M21" s="13"/>
      <c r="N21" s="13"/>
    </row>
    <row r="22" spans="3:16" ht="41.25" customHeight="1" x14ac:dyDescent="0.3">
      <c r="C22" s="130" t="s">
        <v>24</v>
      </c>
      <c r="D22" s="131"/>
      <c r="E22" s="135" t="s">
        <v>30</v>
      </c>
      <c r="F22" s="135"/>
      <c r="G22" s="135"/>
      <c r="H22" s="135"/>
      <c r="I22" s="135"/>
      <c r="J22" s="135"/>
      <c r="K22" s="77"/>
      <c r="L22" s="77"/>
      <c r="M22" s="13"/>
      <c r="N22" s="13"/>
    </row>
    <row r="23" spans="3:16" ht="81.75" customHeight="1" x14ac:dyDescent="0.3">
      <c r="C23" s="136" t="s">
        <v>6</v>
      </c>
      <c r="D23" s="137"/>
      <c r="E23" s="138" t="s">
        <v>33</v>
      </c>
      <c r="F23" s="138"/>
      <c r="G23" s="138"/>
      <c r="H23" s="138"/>
      <c r="I23" s="138"/>
      <c r="J23" s="138"/>
      <c r="K23" s="139"/>
      <c r="L23" s="139"/>
      <c r="M23" s="13"/>
      <c r="N23" s="13"/>
    </row>
    <row r="24" spans="3:16" ht="2.25" customHeight="1" thickBot="1" x14ac:dyDescent="0.35">
      <c r="C24" s="47"/>
      <c r="D24" s="46"/>
      <c r="E24" s="46"/>
      <c r="F24" s="46"/>
      <c r="G24" s="48"/>
      <c r="H24" s="49"/>
      <c r="I24" s="49"/>
      <c r="J24" s="50"/>
      <c r="K24" s="46"/>
      <c r="L24" s="46"/>
      <c r="M24" s="13"/>
      <c r="N24" s="13"/>
    </row>
    <row r="25" spans="3:16" s="6" customFormat="1" ht="79.5" customHeight="1" thickBot="1" x14ac:dyDescent="0.3">
      <c r="C25" s="51" t="s">
        <v>7</v>
      </c>
      <c r="D25" s="51" t="s">
        <v>8</v>
      </c>
      <c r="E25" s="52" t="s">
        <v>9</v>
      </c>
      <c r="F25" s="51" t="s">
        <v>10</v>
      </c>
      <c r="G25" s="51" t="s">
        <v>11</v>
      </c>
      <c r="H25" s="120" t="s">
        <v>12</v>
      </c>
      <c r="I25" s="121"/>
      <c r="J25" s="53" t="s">
        <v>13</v>
      </c>
      <c r="K25" s="68" t="s">
        <v>27</v>
      </c>
      <c r="L25" s="69" t="s">
        <v>28</v>
      </c>
      <c r="M25" s="70" t="s">
        <v>29</v>
      </c>
      <c r="N25" s="31" t="s">
        <v>18</v>
      </c>
    </row>
    <row r="26" spans="3:16" s="71" customFormat="1" ht="25.5" customHeight="1" x14ac:dyDescent="0.25">
      <c r="C26" s="26">
        <v>1</v>
      </c>
      <c r="D26" s="26">
        <v>2</v>
      </c>
      <c r="E26" s="26">
        <v>3</v>
      </c>
      <c r="F26" s="26">
        <v>4</v>
      </c>
      <c r="G26" s="26">
        <v>5</v>
      </c>
      <c r="H26" s="122">
        <v>6</v>
      </c>
      <c r="I26" s="123"/>
      <c r="J26" s="72">
        <v>7</v>
      </c>
      <c r="K26" s="73">
        <v>8</v>
      </c>
      <c r="L26" s="73">
        <v>9</v>
      </c>
      <c r="M26" s="73">
        <v>10</v>
      </c>
      <c r="N26" s="74"/>
    </row>
    <row r="27" spans="3:16" s="8" customFormat="1" ht="30.75" customHeight="1" x14ac:dyDescent="0.35">
      <c r="C27" s="124" t="s">
        <v>17</v>
      </c>
      <c r="D27" s="125"/>
      <c r="E27" s="125"/>
      <c r="F27" s="125"/>
      <c r="G27" s="125"/>
      <c r="H27" s="125"/>
      <c r="I27" s="125"/>
      <c r="J27" s="125"/>
      <c r="K27" s="108"/>
      <c r="L27" s="108"/>
      <c r="M27" s="126"/>
      <c r="N27" s="9"/>
    </row>
    <row r="28" spans="3:16" ht="0.4" customHeight="1" x14ac:dyDescent="0.3">
      <c r="D28" s="13"/>
      <c r="E28" s="13"/>
      <c r="F28" s="13"/>
      <c r="G28" s="18"/>
      <c r="H28" s="19"/>
      <c r="I28" s="19"/>
      <c r="J28" s="20"/>
      <c r="K28" s="21"/>
      <c r="L28" s="22"/>
      <c r="M28" s="34"/>
      <c r="N28" s="23"/>
    </row>
    <row r="29" spans="3:16" ht="103.9" customHeight="1" x14ac:dyDescent="0.25">
      <c r="C29" s="64">
        <v>1</v>
      </c>
      <c r="D29" s="54" t="s">
        <v>37</v>
      </c>
      <c r="E29" s="55" t="s">
        <v>14</v>
      </c>
      <c r="F29" s="56">
        <v>1</v>
      </c>
      <c r="G29" s="96" t="s">
        <v>44</v>
      </c>
      <c r="H29" s="127" t="s">
        <v>36</v>
      </c>
      <c r="I29" s="128"/>
      <c r="J29" s="78">
        <f>(K29+L29*M29) *1.15*1.2</f>
        <v>3340.3286399999997</v>
      </c>
      <c r="K29" s="79">
        <v>1916</v>
      </c>
      <c r="L29" s="80">
        <v>2.76</v>
      </c>
      <c r="M29" s="81">
        <v>182.8</v>
      </c>
      <c r="N29" s="32" t="s">
        <v>21</v>
      </c>
      <c r="O29" s="5"/>
      <c r="P29" s="5"/>
    </row>
    <row r="30" spans="3:16" ht="86.45" customHeight="1" x14ac:dyDescent="0.25">
      <c r="C30" s="65">
        <v>2</v>
      </c>
      <c r="D30" s="57" t="s">
        <v>20</v>
      </c>
      <c r="E30" s="58" t="s">
        <v>15</v>
      </c>
      <c r="F30" s="59">
        <v>1</v>
      </c>
      <c r="G30" s="60" t="s">
        <v>34</v>
      </c>
      <c r="H30" s="127" t="s">
        <v>23</v>
      </c>
      <c r="I30" s="129"/>
      <c r="J30" s="28">
        <f>K30*0.7</f>
        <v>2186.1</v>
      </c>
      <c r="K30" s="75">
        <v>3123</v>
      </c>
      <c r="L30" s="27">
        <v>0</v>
      </c>
      <c r="M30" s="76">
        <v>1</v>
      </c>
      <c r="N30" s="33" t="s">
        <v>22</v>
      </c>
      <c r="O30" s="30"/>
      <c r="P30" s="5"/>
    </row>
    <row r="31" spans="3:16" ht="25.5" customHeight="1" x14ac:dyDescent="0.25">
      <c r="C31" s="82">
        <v>3</v>
      </c>
      <c r="D31" s="113" t="s">
        <v>16</v>
      </c>
      <c r="E31" s="114"/>
      <c r="F31" s="114"/>
      <c r="G31" s="114"/>
      <c r="H31" s="114"/>
      <c r="I31" s="66" t="s">
        <v>5</v>
      </c>
      <c r="J31" s="83">
        <f>SUM(J29:J30)</f>
        <v>5526.4286400000001</v>
      </c>
      <c r="K31" s="13"/>
      <c r="L31" s="13"/>
      <c r="M31" s="13"/>
      <c r="N31" s="13"/>
      <c r="O31" s="5"/>
      <c r="P31" s="5"/>
    </row>
    <row r="32" spans="3:16" ht="73.5" customHeight="1" x14ac:dyDescent="0.25">
      <c r="C32" s="82">
        <v>4</v>
      </c>
      <c r="D32" s="115" t="s">
        <v>35</v>
      </c>
      <c r="E32" s="116"/>
      <c r="F32" s="116"/>
      <c r="G32" s="116"/>
      <c r="H32" s="116"/>
      <c r="I32" s="67">
        <v>4.8819999999999997</v>
      </c>
      <c r="J32" s="84">
        <f>J31*I32</f>
        <v>26980.024620479999</v>
      </c>
      <c r="K32" s="117"/>
      <c r="L32" s="117"/>
      <c r="M32" s="117"/>
      <c r="N32" s="13"/>
      <c r="O32" s="5"/>
      <c r="P32" s="5"/>
    </row>
    <row r="33" spans="1:14" ht="33" customHeight="1" x14ac:dyDescent="0.25">
      <c r="C33" s="82">
        <v>5</v>
      </c>
      <c r="D33" s="113" t="s">
        <v>38</v>
      </c>
      <c r="E33" s="114"/>
      <c r="F33" s="114"/>
      <c r="G33" s="114"/>
      <c r="H33" s="114"/>
      <c r="I33" s="67" t="s">
        <v>5</v>
      </c>
      <c r="J33" s="85">
        <f>J32*1.2</f>
        <v>32376.029544575998</v>
      </c>
      <c r="K33" s="13"/>
      <c r="L33" s="13"/>
      <c r="M33" s="13"/>
      <c r="N33" s="13"/>
    </row>
    <row r="34" spans="1:14" ht="23.65" customHeight="1" x14ac:dyDescent="0.3">
      <c r="D34" s="13"/>
      <c r="E34" s="13"/>
      <c r="F34" s="13"/>
      <c r="G34" s="18"/>
      <c r="H34" s="19"/>
      <c r="I34" s="19"/>
      <c r="J34" s="29"/>
      <c r="K34" s="13"/>
      <c r="L34" s="13"/>
      <c r="M34" s="13"/>
      <c r="N34" s="13"/>
    </row>
    <row r="35" spans="1:14" ht="37.15" customHeight="1" x14ac:dyDescent="0.3">
      <c r="D35" s="13"/>
      <c r="E35" s="13"/>
      <c r="F35" s="13"/>
      <c r="G35" s="18"/>
      <c r="H35" s="19"/>
      <c r="I35" s="19"/>
      <c r="J35" s="20"/>
      <c r="K35" s="13"/>
      <c r="L35" s="13"/>
      <c r="M35" s="13"/>
      <c r="N35" s="13"/>
    </row>
    <row r="36" spans="1:14" ht="20.65" customHeight="1" x14ac:dyDescent="0.3">
      <c r="C36" s="118" t="s">
        <v>31</v>
      </c>
      <c r="D36" s="119"/>
      <c r="E36" s="119"/>
      <c r="F36" s="119"/>
      <c r="G36" s="119"/>
      <c r="H36" s="119"/>
      <c r="I36" s="119"/>
      <c r="J36" s="119"/>
      <c r="K36" s="25"/>
      <c r="L36" s="13"/>
      <c r="M36" s="13"/>
      <c r="N36" s="13"/>
    </row>
    <row r="37" spans="1:14" ht="20.65" customHeight="1" x14ac:dyDescent="0.3">
      <c r="C37" s="44"/>
      <c r="D37" s="45"/>
      <c r="E37" s="45"/>
      <c r="F37" s="45"/>
      <c r="G37" s="45"/>
      <c r="H37" s="45"/>
      <c r="I37" s="45"/>
      <c r="J37" s="45"/>
      <c r="K37" s="25"/>
      <c r="L37" s="13"/>
      <c r="M37" s="13"/>
      <c r="N37" s="13"/>
    </row>
    <row r="38" spans="1:14" ht="16.149999999999999" customHeight="1" x14ac:dyDescent="0.3">
      <c r="C38" s="36"/>
      <c r="D38" s="36"/>
      <c r="E38" s="36"/>
      <c r="F38" s="36"/>
      <c r="G38" s="37"/>
      <c r="H38" s="38"/>
      <c r="I38" s="38"/>
      <c r="J38" s="39"/>
      <c r="K38" s="25"/>
      <c r="L38" s="13"/>
      <c r="M38" s="13"/>
      <c r="N38" s="13"/>
    </row>
    <row r="39" spans="1:14" ht="18" x14ac:dyDescent="0.25">
      <c r="C39" s="107" t="s">
        <v>32</v>
      </c>
      <c r="D39" s="107"/>
      <c r="E39" s="107"/>
      <c r="F39" s="108"/>
      <c r="G39" s="108"/>
      <c r="H39" s="108"/>
      <c r="I39" s="108"/>
      <c r="J39" s="108"/>
      <c r="K39" s="108"/>
      <c r="L39" s="13"/>
      <c r="M39" s="13"/>
      <c r="N39" s="13"/>
    </row>
    <row r="40" spans="1:14" x14ac:dyDescent="0.3">
      <c r="C40" s="36"/>
      <c r="D40" s="36"/>
      <c r="E40" s="36"/>
      <c r="F40" s="36"/>
      <c r="G40" s="37"/>
      <c r="H40" s="38"/>
      <c r="I40" s="38"/>
      <c r="J40" s="39"/>
      <c r="K40" s="25"/>
      <c r="L40" s="13"/>
      <c r="M40" s="13"/>
      <c r="N40" s="13"/>
    </row>
    <row r="41" spans="1:14" ht="18" x14ac:dyDescent="0.25">
      <c r="C41" s="36"/>
      <c r="D41" s="40"/>
      <c r="E41" s="40"/>
      <c r="F41" s="40"/>
      <c r="G41" s="41"/>
      <c r="H41" s="42"/>
      <c r="I41" s="42"/>
      <c r="J41" s="43"/>
      <c r="K41" s="13"/>
      <c r="L41" s="13"/>
      <c r="M41" s="13"/>
      <c r="N41" s="13"/>
    </row>
    <row r="42" spans="1:14" x14ac:dyDescent="0.3">
      <c r="D42" s="13"/>
      <c r="E42" s="13"/>
      <c r="F42" s="13"/>
      <c r="G42" s="18"/>
      <c r="H42" s="19"/>
      <c r="I42" s="19"/>
      <c r="J42" s="20"/>
      <c r="K42" s="13"/>
      <c r="L42" s="13"/>
      <c r="M42" s="13"/>
      <c r="N42" s="13"/>
    </row>
    <row r="43" spans="1:14" x14ac:dyDescent="0.3">
      <c r="A43" s="87"/>
      <c r="B43" s="87"/>
      <c r="D43" s="87"/>
      <c r="E43" s="87"/>
      <c r="F43" s="87"/>
      <c r="K43" s="87"/>
      <c r="L43" s="87"/>
      <c r="M43" s="87"/>
      <c r="N43" s="13"/>
    </row>
    <row r="44" spans="1:14" x14ac:dyDescent="0.3">
      <c r="A44" s="87"/>
      <c r="B44" s="87"/>
      <c r="D44" s="87"/>
      <c r="E44" s="87"/>
      <c r="F44" s="87"/>
      <c r="K44" s="149" t="s">
        <v>0</v>
      </c>
      <c r="L44" s="150"/>
      <c r="M44" s="150"/>
      <c r="N44" s="13"/>
    </row>
    <row r="45" spans="1:14" x14ac:dyDescent="0.3">
      <c r="A45" s="87"/>
      <c r="B45" s="87"/>
      <c r="D45" s="87"/>
      <c r="E45" s="87"/>
      <c r="F45" s="87"/>
      <c r="K45" s="87"/>
      <c r="L45" s="87"/>
      <c r="M45" s="87"/>
      <c r="N45" s="13"/>
    </row>
    <row r="46" spans="1:14" ht="15.75" x14ac:dyDescent="0.25">
      <c r="A46" s="87"/>
      <c r="B46" s="87"/>
      <c r="C46" s="151"/>
      <c r="D46" s="152"/>
      <c r="E46" s="152"/>
      <c r="F46" s="152"/>
      <c r="G46" s="152"/>
      <c r="H46" s="87"/>
      <c r="I46" s="87"/>
      <c r="J46" s="87"/>
      <c r="K46" s="13"/>
      <c r="L46" s="13"/>
      <c r="M46" s="13"/>
      <c r="N46" s="13"/>
    </row>
    <row r="47" spans="1:14" ht="18" x14ac:dyDescent="0.25">
      <c r="A47" s="87"/>
      <c r="B47" s="87"/>
      <c r="C47" s="61"/>
      <c r="D47" s="91"/>
      <c r="E47" s="91"/>
      <c r="F47" s="91"/>
      <c r="G47" s="91"/>
      <c r="H47" s="92"/>
      <c r="I47" s="93"/>
      <c r="J47" s="93"/>
      <c r="K47" s="13"/>
      <c r="L47" s="13"/>
      <c r="M47" s="13"/>
      <c r="N47" s="13"/>
    </row>
    <row r="48" spans="1:14" ht="18" x14ac:dyDescent="0.25">
      <c r="A48" s="87"/>
      <c r="B48" s="87"/>
      <c r="C48" s="62"/>
      <c r="D48" s="14"/>
      <c r="E48" s="14"/>
      <c r="F48" s="14"/>
      <c r="G48" s="14"/>
      <c r="H48" s="145" t="s">
        <v>19</v>
      </c>
      <c r="I48" s="145"/>
      <c r="J48" s="145"/>
      <c r="K48" s="13"/>
      <c r="L48" s="13"/>
      <c r="M48" s="13"/>
      <c r="N48" s="13"/>
    </row>
    <row r="49" spans="1:14" ht="17.25" x14ac:dyDescent="0.25">
      <c r="A49" s="87"/>
      <c r="B49" s="87"/>
      <c r="C49" s="146"/>
      <c r="D49" s="146"/>
      <c r="E49" s="146"/>
      <c r="F49" s="146"/>
      <c r="G49" s="146"/>
      <c r="H49" s="147" t="s">
        <v>40</v>
      </c>
      <c r="I49" s="147"/>
      <c r="J49" s="147"/>
      <c r="K49" s="13"/>
      <c r="L49" s="13"/>
      <c r="M49" s="13"/>
      <c r="N49" s="13"/>
    </row>
    <row r="50" spans="1:14" ht="18" x14ac:dyDescent="0.25">
      <c r="A50" s="87"/>
      <c r="B50" s="87"/>
      <c r="C50" s="7"/>
      <c r="D50" s="94"/>
      <c r="E50" s="94"/>
      <c r="F50" s="94"/>
      <c r="G50" s="94"/>
      <c r="H50" s="147"/>
      <c r="I50" s="147"/>
      <c r="J50" s="147"/>
      <c r="K50" s="108"/>
      <c r="L50" s="13"/>
      <c r="M50" s="13"/>
      <c r="N50" s="13"/>
    </row>
    <row r="51" spans="1:14" ht="18" x14ac:dyDescent="0.25">
      <c r="A51" s="87"/>
      <c r="B51" s="87"/>
      <c r="C51" s="63"/>
      <c r="D51" s="24"/>
      <c r="E51" s="24"/>
      <c r="F51" s="24"/>
      <c r="G51" s="24"/>
      <c r="H51" s="17"/>
      <c r="I51" s="17"/>
      <c r="J51" s="17"/>
      <c r="K51" s="148"/>
      <c r="L51" s="148"/>
      <c r="M51" s="13"/>
      <c r="N51" s="13"/>
    </row>
    <row r="52" spans="1:14" ht="18" x14ac:dyDescent="0.25">
      <c r="A52" s="87"/>
      <c r="B52" s="87"/>
      <c r="C52" s="63"/>
      <c r="D52" s="24"/>
      <c r="E52" s="24"/>
      <c r="F52" s="24"/>
      <c r="G52" s="24"/>
      <c r="H52" s="35"/>
      <c r="I52" s="35"/>
      <c r="J52" s="35"/>
      <c r="K52" s="13"/>
      <c r="L52" s="13"/>
      <c r="M52" s="13"/>
      <c r="N52" s="13"/>
    </row>
    <row r="53" spans="1:14" ht="18" x14ac:dyDescent="0.25">
      <c r="A53" s="87"/>
      <c r="B53" s="87"/>
      <c r="C53" s="63"/>
      <c r="D53" s="24"/>
      <c r="E53" s="24"/>
      <c r="F53" s="24"/>
      <c r="G53" s="24"/>
      <c r="H53" s="35"/>
      <c r="I53" s="35"/>
      <c r="J53" s="35"/>
      <c r="K53" s="22"/>
      <c r="L53" s="13"/>
      <c r="M53" s="13"/>
    </row>
    <row r="54" spans="1:14" ht="18" x14ac:dyDescent="0.25">
      <c r="A54" s="87"/>
      <c r="B54" s="87"/>
      <c r="C54" s="63"/>
      <c r="D54" s="24"/>
      <c r="E54" s="24"/>
      <c r="F54" s="24"/>
      <c r="G54" s="24"/>
      <c r="H54" s="140" t="s">
        <v>39</v>
      </c>
      <c r="I54" s="140"/>
      <c r="J54" s="140"/>
      <c r="K54" s="108"/>
      <c r="L54" s="108"/>
      <c r="M54" s="13"/>
    </row>
    <row r="55" spans="1:14" x14ac:dyDescent="0.3">
      <c r="A55" s="87"/>
      <c r="B55" s="87"/>
      <c r="D55" s="13"/>
      <c r="E55" s="13"/>
      <c r="F55" s="13"/>
      <c r="G55" s="18"/>
      <c r="H55" s="19"/>
      <c r="I55" s="19"/>
      <c r="J55" s="20"/>
      <c r="K55" s="13"/>
      <c r="L55" s="13"/>
      <c r="M55" s="13"/>
    </row>
    <row r="56" spans="1:14" ht="23.25" x14ac:dyDescent="0.25">
      <c r="A56" s="87"/>
      <c r="B56" s="87"/>
      <c r="C56" s="141" t="s">
        <v>1</v>
      </c>
      <c r="D56" s="142"/>
      <c r="E56" s="142"/>
      <c r="F56" s="142"/>
      <c r="G56" s="142"/>
      <c r="H56" s="142"/>
      <c r="I56" s="142"/>
      <c r="J56" s="142"/>
      <c r="K56" s="46"/>
      <c r="L56" s="46"/>
      <c r="M56" s="13"/>
    </row>
    <row r="57" spans="1:14" x14ac:dyDescent="0.3">
      <c r="A57" s="87"/>
      <c r="B57" s="87"/>
      <c r="C57" s="130" t="s">
        <v>25</v>
      </c>
      <c r="D57" s="131"/>
      <c r="E57" s="135" t="s">
        <v>42</v>
      </c>
      <c r="F57" s="135"/>
      <c r="G57" s="135"/>
      <c r="H57" s="135"/>
      <c r="I57" s="135"/>
      <c r="J57" s="135"/>
      <c r="K57" s="90"/>
      <c r="L57" s="90"/>
      <c r="M57" s="13"/>
    </row>
    <row r="58" spans="1:14" x14ac:dyDescent="0.3">
      <c r="A58" s="87"/>
      <c r="B58" s="87"/>
      <c r="C58" s="130" t="s">
        <v>2</v>
      </c>
      <c r="D58" s="131"/>
      <c r="E58" s="143" t="s">
        <v>3</v>
      </c>
      <c r="F58" s="144"/>
      <c r="G58" s="144"/>
      <c r="H58" s="144"/>
      <c r="I58" s="144"/>
      <c r="J58" s="144"/>
      <c r="K58" s="90"/>
      <c r="L58" s="90"/>
      <c r="M58" s="13"/>
    </row>
    <row r="59" spans="1:14" x14ac:dyDescent="0.3">
      <c r="A59" s="87"/>
      <c r="B59" s="87"/>
      <c r="C59" s="130" t="s">
        <v>4</v>
      </c>
      <c r="D59" s="131"/>
      <c r="E59" s="132" t="s">
        <v>26</v>
      </c>
      <c r="F59" s="133"/>
      <c r="G59" s="133"/>
      <c r="H59" s="133"/>
      <c r="I59" s="133"/>
      <c r="J59" s="133"/>
      <c r="K59" s="134"/>
      <c r="L59" s="134"/>
      <c r="M59" s="13"/>
    </row>
    <row r="60" spans="1:14" x14ac:dyDescent="0.3">
      <c r="A60" s="87"/>
      <c r="B60" s="87"/>
      <c r="C60" s="130" t="s">
        <v>24</v>
      </c>
      <c r="D60" s="131"/>
      <c r="E60" s="135" t="s">
        <v>30</v>
      </c>
      <c r="F60" s="135"/>
      <c r="G60" s="135"/>
      <c r="H60" s="135"/>
      <c r="I60" s="135"/>
      <c r="J60" s="135"/>
      <c r="K60" s="90"/>
      <c r="L60" s="90"/>
      <c r="M60" s="13"/>
    </row>
    <row r="61" spans="1:14" x14ac:dyDescent="0.3">
      <c r="A61" s="87"/>
      <c r="B61" s="87"/>
      <c r="C61" s="136" t="s">
        <v>6</v>
      </c>
      <c r="D61" s="137"/>
      <c r="E61" s="138" t="s">
        <v>33</v>
      </c>
      <c r="F61" s="138"/>
      <c r="G61" s="138"/>
      <c r="H61" s="138"/>
      <c r="I61" s="138"/>
      <c r="J61" s="138"/>
      <c r="K61" s="139"/>
      <c r="L61" s="139"/>
      <c r="M61" s="13"/>
    </row>
    <row r="62" spans="1:14" ht="19.5" thickBot="1" x14ac:dyDescent="0.35">
      <c r="A62" s="87"/>
      <c r="B62" s="87"/>
      <c r="C62" s="90"/>
      <c r="D62" s="46"/>
      <c r="E62" s="46"/>
      <c r="F62" s="46"/>
      <c r="G62" s="48"/>
      <c r="H62" s="49"/>
      <c r="I62" s="49"/>
      <c r="J62" s="50"/>
      <c r="K62" s="46"/>
      <c r="L62" s="46"/>
      <c r="M62" s="13"/>
    </row>
    <row r="63" spans="1:14" ht="75" x14ac:dyDescent="0.25">
      <c r="A63" s="6"/>
      <c r="B63" s="6"/>
      <c r="C63" s="51" t="s">
        <v>7</v>
      </c>
      <c r="D63" s="51" t="s">
        <v>8</v>
      </c>
      <c r="E63" s="52" t="s">
        <v>9</v>
      </c>
      <c r="F63" s="51" t="s">
        <v>10</v>
      </c>
      <c r="G63" s="51" t="s">
        <v>11</v>
      </c>
      <c r="H63" s="120" t="s">
        <v>12</v>
      </c>
      <c r="I63" s="121"/>
      <c r="J63" s="53" t="s">
        <v>13</v>
      </c>
      <c r="K63" s="68" t="s">
        <v>27</v>
      </c>
      <c r="L63" s="69" t="s">
        <v>28</v>
      </c>
      <c r="M63" s="70" t="s">
        <v>29</v>
      </c>
    </row>
    <row r="64" spans="1:14" ht="18" x14ac:dyDescent="0.25">
      <c r="A64" s="71"/>
      <c r="B64" s="71"/>
      <c r="C64" s="26">
        <v>1</v>
      </c>
      <c r="D64" s="26">
        <v>2</v>
      </c>
      <c r="E64" s="26">
        <v>3</v>
      </c>
      <c r="F64" s="26">
        <v>4</v>
      </c>
      <c r="G64" s="26">
        <v>5</v>
      </c>
      <c r="H64" s="122">
        <v>6</v>
      </c>
      <c r="I64" s="123"/>
      <c r="J64" s="72">
        <v>7</v>
      </c>
      <c r="K64" s="73">
        <v>8</v>
      </c>
      <c r="L64" s="73">
        <v>9</v>
      </c>
      <c r="M64" s="73">
        <v>10</v>
      </c>
    </row>
    <row r="65" spans="1:13" ht="21" x14ac:dyDescent="0.35">
      <c r="A65" s="8"/>
      <c r="B65" s="8"/>
      <c r="C65" s="124" t="s">
        <v>17</v>
      </c>
      <c r="D65" s="125"/>
      <c r="E65" s="125"/>
      <c r="F65" s="125"/>
      <c r="G65" s="125"/>
      <c r="H65" s="125"/>
      <c r="I65" s="125"/>
      <c r="J65" s="125"/>
      <c r="K65" s="108"/>
      <c r="L65" s="108"/>
      <c r="M65" s="126"/>
    </row>
    <row r="66" spans="1:13" x14ac:dyDescent="0.3">
      <c r="A66" s="87"/>
      <c r="B66" s="87"/>
      <c r="D66" s="13"/>
      <c r="E66" s="13"/>
      <c r="F66" s="13"/>
      <c r="G66" s="18"/>
      <c r="H66" s="19"/>
      <c r="I66" s="19"/>
      <c r="J66" s="20"/>
      <c r="K66" s="21"/>
      <c r="L66" s="22"/>
      <c r="M66" s="34"/>
    </row>
    <row r="67" spans="1:13" ht="115.5" x14ac:dyDescent="0.25">
      <c r="A67" s="87"/>
      <c r="B67" s="87"/>
      <c r="C67" s="64">
        <v>1</v>
      </c>
      <c r="D67" s="54" t="s">
        <v>43</v>
      </c>
      <c r="E67" s="55" t="s">
        <v>14</v>
      </c>
      <c r="F67" s="56">
        <v>1</v>
      </c>
      <c r="G67" s="96" t="s">
        <v>44</v>
      </c>
      <c r="H67" s="127" t="s">
        <v>36</v>
      </c>
      <c r="I67" s="128"/>
      <c r="J67" s="78">
        <f>(K67+L67*M67) *1.15*1.2</f>
        <v>3525.3203999999996</v>
      </c>
      <c r="K67" s="79">
        <v>2000</v>
      </c>
      <c r="L67" s="80">
        <v>2.34</v>
      </c>
      <c r="M67" s="81">
        <v>237</v>
      </c>
    </row>
    <row r="68" spans="1:13" ht="49.5" x14ac:dyDescent="0.25">
      <c r="A68" s="87"/>
      <c r="B68" s="87"/>
      <c r="C68" s="65">
        <v>2</v>
      </c>
      <c r="D68" s="57" t="s">
        <v>20</v>
      </c>
      <c r="E68" s="58" t="s">
        <v>15</v>
      </c>
      <c r="F68" s="59">
        <v>1</v>
      </c>
      <c r="G68" s="60" t="s">
        <v>34</v>
      </c>
      <c r="H68" s="127" t="s">
        <v>23</v>
      </c>
      <c r="I68" s="129"/>
      <c r="J68" s="28">
        <f>K68*0.7</f>
        <v>2186.1</v>
      </c>
      <c r="K68" s="75">
        <v>3123</v>
      </c>
      <c r="L68" s="27">
        <v>0</v>
      </c>
      <c r="M68" s="76">
        <v>1</v>
      </c>
    </row>
    <row r="69" spans="1:13" ht="18" x14ac:dyDescent="0.25">
      <c r="A69" s="87"/>
      <c r="B69" s="87"/>
      <c r="C69" s="82">
        <v>3</v>
      </c>
      <c r="D69" s="113" t="s">
        <v>16</v>
      </c>
      <c r="E69" s="114"/>
      <c r="F69" s="114"/>
      <c r="G69" s="114"/>
      <c r="H69" s="114"/>
      <c r="I69" s="66" t="s">
        <v>5</v>
      </c>
      <c r="J69" s="83">
        <f>SUM(J67:J68)</f>
        <v>5711.4203999999991</v>
      </c>
      <c r="K69" s="13"/>
      <c r="L69" s="13"/>
      <c r="M69" s="13"/>
    </row>
    <row r="70" spans="1:13" ht="18" x14ac:dyDescent="0.25">
      <c r="A70" s="87"/>
      <c r="B70" s="87"/>
      <c r="C70" s="82">
        <v>4</v>
      </c>
      <c r="D70" s="115" t="s">
        <v>35</v>
      </c>
      <c r="E70" s="116"/>
      <c r="F70" s="116"/>
      <c r="G70" s="116"/>
      <c r="H70" s="116"/>
      <c r="I70" s="67">
        <v>4.8819999999999997</v>
      </c>
      <c r="J70" s="84">
        <f>J69*I70</f>
        <v>27883.154392799992</v>
      </c>
      <c r="K70" s="117"/>
      <c r="L70" s="117"/>
      <c r="M70" s="117"/>
    </row>
    <row r="71" spans="1:13" ht="18" x14ac:dyDescent="0.25">
      <c r="A71" s="87"/>
      <c r="B71" s="87"/>
      <c r="C71" s="82">
        <v>5</v>
      </c>
      <c r="D71" s="113" t="s">
        <v>38</v>
      </c>
      <c r="E71" s="114"/>
      <c r="F71" s="114"/>
      <c r="G71" s="114"/>
      <c r="H71" s="114"/>
      <c r="I71" s="67" t="s">
        <v>5</v>
      </c>
      <c r="J71" s="85">
        <f>J70*1.2</f>
        <v>33459.785271359986</v>
      </c>
      <c r="K71" s="13"/>
      <c r="L71" s="13"/>
      <c r="M71" s="13"/>
    </row>
    <row r="72" spans="1:13" x14ac:dyDescent="0.3">
      <c r="A72" s="87"/>
      <c r="B72" s="87"/>
      <c r="D72" s="13"/>
      <c r="E72" s="13"/>
      <c r="F72" s="13"/>
      <c r="G72" s="18"/>
      <c r="H72" s="19"/>
      <c r="I72" s="19"/>
      <c r="J72" s="29"/>
      <c r="K72" s="13"/>
      <c r="L72" s="13"/>
      <c r="M72" s="13"/>
    </row>
    <row r="73" spans="1:13" x14ac:dyDescent="0.3">
      <c r="A73" s="87"/>
      <c r="B73" s="87"/>
      <c r="D73" s="13"/>
      <c r="E73" s="13"/>
      <c r="F73" s="13"/>
      <c r="G73" s="18"/>
      <c r="H73" s="19"/>
      <c r="I73" s="19"/>
      <c r="J73" s="20"/>
      <c r="K73" s="13"/>
      <c r="L73" s="13"/>
      <c r="M73" s="13"/>
    </row>
    <row r="74" spans="1:13" x14ac:dyDescent="0.3">
      <c r="A74" s="87"/>
      <c r="B74" s="87"/>
      <c r="C74" s="118" t="s">
        <v>31</v>
      </c>
      <c r="D74" s="119"/>
      <c r="E74" s="119"/>
      <c r="F74" s="119"/>
      <c r="G74" s="119"/>
      <c r="H74" s="119"/>
      <c r="I74" s="119"/>
      <c r="J74" s="119"/>
      <c r="K74" s="25"/>
      <c r="L74" s="13"/>
      <c r="M74" s="13"/>
    </row>
    <row r="75" spans="1:13" x14ac:dyDescent="0.3">
      <c r="A75" s="87"/>
      <c r="B75" s="87"/>
      <c r="C75" s="88"/>
      <c r="D75" s="89"/>
      <c r="E75" s="89"/>
      <c r="F75" s="89"/>
      <c r="G75" s="89"/>
      <c r="H75" s="89"/>
      <c r="I75" s="89"/>
      <c r="J75" s="89"/>
      <c r="K75" s="25"/>
      <c r="L75" s="13"/>
      <c r="M75" s="13"/>
    </row>
    <row r="76" spans="1:13" x14ac:dyDescent="0.3">
      <c r="A76" s="87"/>
      <c r="B76" s="87"/>
      <c r="C76" s="86"/>
      <c r="D76" s="86"/>
      <c r="E76" s="86"/>
      <c r="F76" s="86"/>
      <c r="G76" s="37"/>
      <c r="H76" s="38"/>
      <c r="I76" s="38"/>
      <c r="J76" s="39"/>
      <c r="K76" s="25"/>
      <c r="L76" s="13"/>
      <c r="M76" s="13"/>
    </row>
    <row r="77" spans="1:13" ht="18" x14ac:dyDescent="0.25">
      <c r="A77" s="87"/>
      <c r="B77" s="87"/>
      <c r="C77" s="107" t="s">
        <v>32</v>
      </c>
      <c r="D77" s="107"/>
      <c r="E77" s="107"/>
      <c r="F77" s="108"/>
      <c r="G77" s="108"/>
      <c r="H77" s="108"/>
      <c r="I77" s="108"/>
      <c r="J77" s="108"/>
      <c r="K77" s="108"/>
      <c r="L77" s="13"/>
      <c r="M77" s="13"/>
    </row>
    <row r="78" spans="1:13" x14ac:dyDescent="0.3">
      <c r="A78" s="87"/>
      <c r="B78" s="87"/>
      <c r="C78" s="86"/>
      <c r="D78" s="86"/>
      <c r="E78" s="86"/>
      <c r="F78" s="86"/>
      <c r="G78" s="37"/>
      <c r="H78" s="38"/>
      <c r="I78" s="38"/>
      <c r="J78" s="39"/>
      <c r="K78" s="25"/>
      <c r="L78" s="13"/>
      <c r="M78" s="13"/>
    </row>
    <row r="79" spans="1:13" x14ac:dyDescent="0.3">
      <c r="A79" s="87"/>
      <c r="B79" s="87"/>
      <c r="D79" s="87"/>
      <c r="E79" s="87"/>
      <c r="F79" s="87"/>
      <c r="K79" s="87"/>
      <c r="L79" s="87"/>
      <c r="M79" s="87"/>
    </row>
    <row r="80" spans="1:13" x14ac:dyDescent="0.3">
      <c r="A80" s="87"/>
      <c r="B80" s="87"/>
      <c r="D80" s="87"/>
      <c r="E80" s="87"/>
      <c r="F80" s="87"/>
      <c r="K80" s="149" t="s">
        <v>0</v>
      </c>
      <c r="L80" s="150"/>
      <c r="M80" s="150"/>
    </row>
    <row r="81" spans="1:13" x14ac:dyDescent="0.3">
      <c r="A81" s="87"/>
      <c r="B81" s="87"/>
      <c r="D81" s="87"/>
      <c r="E81" s="87"/>
      <c r="F81" s="87"/>
      <c r="K81" s="87"/>
      <c r="L81" s="87"/>
      <c r="M81" s="87"/>
    </row>
    <row r="82" spans="1:13" ht="15.75" x14ac:dyDescent="0.25">
      <c r="A82" s="87"/>
      <c r="B82" s="87"/>
      <c r="C82" s="151"/>
      <c r="D82" s="152"/>
      <c r="E82" s="152"/>
      <c r="F82" s="152"/>
      <c r="G82" s="152"/>
      <c r="H82" s="87"/>
      <c r="I82" s="87"/>
      <c r="J82" s="87"/>
      <c r="K82" s="13"/>
      <c r="L82" s="13"/>
      <c r="M82" s="13"/>
    </row>
    <row r="83" spans="1:13" ht="18" x14ac:dyDescent="0.25">
      <c r="A83" s="87"/>
      <c r="B83" s="87"/>
      <c r="C83" s="61"/>
      <c r="D83" s="91"/>
      <c r="E83" s="91"/>
      <c r="F83" s="91"/>
      <c r="G83" s="91"/>
      <c r="H83" s="92"/>
      <c r="I83" s="93"/>
      <c r="J83" s="93"/>
      <c r="K83" s="13"/>
      <c r="L83" s="13"/>
      <c r="M83" s="13"/>
    </row>
    <row r="84" spans="1:13" ht="18" x14ac:dyDescent="0.25">
      <c r="A84" s="87"/>
      <c r="B84" s="87"/>
      <c r="C84" s="62"/>
      <c r="D84" s="14"/>
      <c r="E84" s="14"/>
      <c r="F84" s="14"/>
      <c r="G84" s="14"/>
      <c r="H84" s="145" t="s">
        <v>19</v>
      </c>
      <c r="I84" s="145"/>
      <c r="J84" s="145"/>
      <c r="K84" s="13"/>
      <c r="L84" s="13"/>
      <c r="M84" s="13"/>
    </row>
    <row r="85" spans="1:13" ht="17.25" x14ac:dyDescent="0.25">
      <c r="A85" s="87"/>
      <c r="B85" s="87"/>
      <c r="C85" s="146"/>
      <c r="D85" s="146"/>
      <c r="E85" s="146"/>
      <c r="F85" s="146"/>
      <c r="G85" s="146"/>
      <c r="H85" s="147" t="s">
        <v>40</v>
      </c>
      <c r="I85" s="147"/>
      <c r="J85" s="147"/>
      <c r="K85" s="13"/>
      <c r="L85" s="13"/>
      <c r="M85" s="13"/>
    </row>
    <row r="86" spans="1:13" ht="18" x14ac:dyDescent="0.25">
      <c r="A86" s="87"/>
      <c r="B86" s="87"/>
      <c r="C86" s="7"/>
      <c r="D86" s="94"/>
      <c r="E86" s="94"/>
      <c r="F86" s="94"/>
      <c r="G86" s="94"/>
      <c r="H86" s="147"/>
      <c r="I86" s="147"/>
      <c r="J86" s="147"/>
      <c r="K86" s="108"/>
      <c r="L86" s="13"/>
      <c r="M86" s="13"/>
    </row>
    <row r="87" spans="1:13" ht="18" x14ac:dyDescent="0.25">
      <c r="A87" s="87"/>
      <c r="B87" s="87"/>
      <c r="C87" s="63"/>
      <c r="D87" s="24"/>
      <c r="E87" s="24"/>
      <c r="F87" s="24"/>
      <c r="G87" s="24"/>
      <c r="H87" s="17"/>
      <c r="I87" s="17"/>
      <c r="J87" s="17"/>
      <c r="K87" s="148"/>
      <c r="L87" s="148"/>
      <c r="M87" s="13"/>
    </row>
    <row r="88" spans="1:13" ht="18" x14ac:dyDescent="0.25">
      <c r="A88" s="87"/>
      <c r="B88" s="87"/>
      <c r="C88" s="63"/>
      <c r="D88" s="24"/>
      <c r="E88" s="24"/>
      <c r="F88" s="24"/>
      <c r="G88" s="24"/>
      <c r="H88" s="35"/>
      <c r="I88" s="35"/>
      <c r="J88" s="35"/>
      <c r="K88" s="13"/>
      <c r="L88" s="13"/>
      <c r="M88" s="13"/>
    </row>
    <row r="89" spans="1:13" ht="18" x14ac:dyDescent="0.25">
      <c r="A89" s="87"/>
      <c r="B89" s="87"/>
      <c r="C89" s="63"/>
      <c r="D89" s="24"/>
      <c r="E89" s="24"/>
      <c r="F89" s="24"/>
      <c r="G89" s="24"/>
      <c r="H89" s="35"/>
      <c r="I89" s="35"/>
      <c r="J89" s="35"/>
      <c r="K89" s="22"/>
      <c r="L89" s="13"/>
      <c r="M89" s="13"/>
    </row>
    <row r="90" spans="1:13" ht="18" x14ac:dyDescent="0.25">
      <c r="A90" s="87"/>
      <c r="B90" s="87"/>
      <c r="C90" s="63"/>
      <c r="D90" s="24"/>
      <c r="E90" s="24"/>
      <c r="F90" s="24"/>
      <c r="G90" s="24"/>
      <c r="H90" s="140" t="s">
        <v>39</v>
      </c>
      <c r="I90" s="140"/>
      <c r="J90" s="140"/>
      <c r="K90" s="108"/>
      <c r="L90" s="108"/>
      <c r="M90" s="13"/>
    </row>
    <row r="91" spans="1:13" x14ac:dyDescent="0.3">
      <c r="A91" s="87"/>
      <c r="B91" s="87"/>
      <c r="D91" s="13"/>
      <c r="E91" s="13"/>
      <c r="F91" s="13"/>
      <c r="G91" s="18"/>
      <c r="H91" s="19"/>
      <c r="I91" s="19"/>
      <c r="J91" s="20"/>
      <c r="K91" s="13"/>
      <c r="L91" s="13"/>
      <c r="M91" s="13"/>
    </row>
    <row r="92" spans="1:13" ht="23.25" x14ac:dyDescent="0.25">
      <c r="A92" s="87"/>
      <c r="B92" s="87"/>
      <c r="C92" s="141" t="s">
        <v>1</v>
      </c>
      <c r="D92" s="142"/>
      <c r="E92" s="142"/>
      <c r="F92" s="142"/>
      <c r="G92" s="142"/>
      <c r="H92" s="142"/>
      <c r="I92" s="142"/>
      <c r="J92" s="142"/>
      <c r="K92" s="46"/>
      <c r="L92" s="46"/>
      <c r="M92" s="13"/>
    </row>
    <row r="93" spans="1:13" x14ac:dyDescent="0.3">
      <c r="A93" s="87"/>
      <c r="B93" s="87"/>
      <c r="C93" s="130" t="s">
        <v>25</v>
      </c>
      <c r="D93" s="131"/>
      <c r="E93" s="135" t="s">
        <v>45</v>
      </c>
      <c r="F93" s="135"/>
      <c r="G93" s="135"/>
      <c r="H93" s="135"/>
      <c r="I93" s="135"/>
      <c r="J93" s="135"/>
      <c r="K93" s="90"/>
      <c r="L93" s="90"/>
      <c r="M93" s="13"/>
    </row>
    <row r="94" spans="1:13" x14ac:dyDescent="0.3">
      <c r="A94" s="87"/>
      <c r="B94" s="87"/>
      <c r="C94" s="130" t="s">
        <v>2</v>
      </c>
      <c r="D94" s="131"/>
      <c r="E94" s="143" t="s">
        <v>3</v>
      </c>
      <c r="F94" s="144"/>
      <c r="G94" s="144"/>
      <c r="H94" s="144"/>
      <c r="I94" s="144"/>
      <c r="J94" s="144"/>
      <c r="K94" s="90"/>
      <c r="L94" s="90"/>
      <c r="M94" s="13"/>
    </row>
    <row r="95" spans="1:13" x14ac:dyDescent="0.3">
      <c r="A95" s="87"/>
      <c r="B95" s="87"/>
      <c r="C95" s="130" t="s">
        <v>4</v>
      </c>
      <c r="D95" s="131"/>
      <c r="E95" s="132" t="s">
        <v>26</v>
      </c>
      <c r="F95" s="133"/>
      <c r="G95" s="133"/>
      <c r="H95" s="133"/>
      <c r="I95" s="133"/>
      <c r="J95" s="133"/>
      <c r="K95" s="134"/>
      <c r="L95" s="134"/>
      <c r="M95" s="13"/>
    </row>
    <row r="96" spans="1:13" x14ac:dyDescent="0.3">
      <c r="A96" s="87"/>
      <c r="B96" s="87"/>
      <c r="C96" s="130" t="s">
        <v>24</v>
      </c>
      <c r="D96" s="131"/>
      <c r="E96" s="135" t="s">
        <v>30</v>
      </c>
      <c r="F96" s="135"/>
      <c r="G96" s="135"/>
      <c r="H96" s="135"/>
      <c r="I96" s="135"/>
      <c r="J96" s="135"/>
      <c r="K96" s="90"/>
      <c r="L96" s="90"/>
      <c r="M96" s="13"/>
    </row>
    <row r="97" spans="1:13" x14ac:dyDescent="0.3">
      <c r="A97" s="87"/>
      <c r="B97" s="87"/>
      <c r="C97" s="136" t="s">
        <v>6</v>
      </c>
      <c r="D97" s="137"/>
      <c r="E97" s="138" t="s">
        <v>33</v>
      </c>
      <c r="F97" s="138"/>
      <c r="G97" s="138"/>
      <c r="H97" s="138"/>
      <c r="I97" s="138"/>
      <c r="J97" s="138"/>
      <c r="K97" s="139"/>
      <c r="L97" s="139"/>
      <c r="M97" s="13"/>
    </row>
    <row r="98" spans="1:13" ht="19.5" thickBot="1" x14ac:dyDescent="0.35">
      <c r="A98" s="87"/>
      <c r="B98" s="87"/>
      <c r="C98" s="90"/>
      <c r="D98" s="46"/>
      <c r="E98" s="46"/>
      <c r="F98" s="46"/>
      <c r="G98" s="48"/>
      <c r="H98" s="49"/>
      <c r="I98" s="49"/>
      <c r="J98" s="50"/>
      <c r="K98" s="46"/>
      <c r="L98" s="46"/>
      <c r="M98" s="13"/>
    </row>
    <row r="99" spans="1:13" ht="75" x14ac:dyDescent="0.25">
      <c r="A99" s="6"/>
      <c r="B99" s="6"/>
      <c r="C99" s="51" t="s">
        <v>7</v>
      </c>
      <c r="D99" s="51" t="s">
        <v>8</v>
      </c>
      <c r="E99" s="52" t="s">
        <v>9</v>
      </c>
      <c r="F99" s="51" t="s">
        <v>10</v>
      </c>
      <c r="G99" s="51" t="s">
        <v>11</v>
      </c>
      <c r="H99" s="120" t="s">
        <v>12</v>
      </c>
      <c r="I99" s="121"/>
      <c r="J99" s="53" t="s">
        <v>13</v>
      </c>
      <c r="K99" s="68" t="s">
        <v>27</v>
      </c>
      <c r="L99" s="69" t="s">
        <v>28</v>
      </c>
      <c r="M99" s="70" t="s">
        <v>29</v>
      </c>
    </row>
    <row r="100" spans="1:13" ht="18" x14ac:dyDescent="0.25">
      <c r="A100" s="71"/>
      <c r="B100" s="71"/>
      <c r="C100" s="26">
        <v>1</v>
      </c>
      <c r="D100" s="26">
        <v>2</v>
      </c>
      <c r="E100" s="26">
        <v>3</v>
      </c>
      <c r="F100" s="26">
        <v>4</v>
      </c>
      <c r="G100" s="26">
        <v>5</v>
      </c>
      <c r="H100" s="122">
        <v>6</v>
      </c>
      <c r="I100" s="123"/>
      <c r="J100" s="72">
        <v>7</v>
      </c>
      <c r="K100" s="73">
        <v>8</v>
      </c>
      <c r="L100" s="73">
        <v>9</v>
      </c>
      <c r="M100" s="73">
        <v>10</v>
      </c>
    </row>
    <row r="101" spans="1:13" ht="21" x14ac:dyDescent="0.35">
      <c r="A101" s="8"/>
      <c r="B101" s="8"/>
      <c r="C101" s="124" t="s">
        <v>17</v>
      </c>
      <c r="D101" s="125"/>
      <c r="E101" s="125"/>
      <c r="F101" s="125"/>
      <c r="G101" s="125"/>
      <c r="H101" s="125"/>
      <c r="I101" s="125"/>
      <c r="J101" s="125"/>
      <c r="K101" s="108"/>
      <c r="L101" s="108"/>
      <c r="M101" s="126"/>
    </row>
    <row r="102" spans="1:13" x14ac:dyDescent="0.3">
      <c r="A102" s="87"/>
      <c r="B102" s="87"/>
      <c r="D102" s="13"/>
      <c r="E102" s="13"/>
      <c r="F102" s="13"/>
      <c r="G102" s="18"/>
      <c r="H102" s="19"/>
      <c r="I102" s="19"/>
      <c r="J102" s="20"/>
      <c r="K102" s="21"/>
      <c r="L102" s="22"/>
      <c r="M102" s="34"/>
    </row>
    <row r="103" spans="1:13" ht="115.5" x14ac:dyDescent="0.25">
      <c r="A103" s="87"/>
      <c r="B103" s="87"/>
      <c r="C103" s="64">
        <v>1</v>
      </c>
      <c r="D103" s="54" t="s">
        <v>46</v>
      </c>
      <c r="E103" s="55" t="s">
        <v>14</v>
      </c>
      <c r="F103" s="56">
        <v>1</v>
      </c>
      <c r="G103" s="96" t="s">
        <v>44</v>
      </c>
      <c r="H103" s="127" t="s">
        <v>36</v>
      </c>
      <c r="I103" s="128"/>
      <c r="J103" s="78">
        <f>(K103+L103*M103) *1.15*1.2</f>
        <v>4592.9159999999993</v>
      </c>
      <c r="K103" s="79">
        <v>2088</v>
      </c>
      <c r="L103" s="80">
        <v>2.12</v>
      </c>
      <c r="M103" s="81">
        <v>585</v>
      </c>
    </row>
    <row r="104" spans="1:13" ht="49.5" x14ac:dyDescent="0.25">
      <c r="A104" s="87"/>
      <c r="B104" s="87"/>
      <c r="C104" s="65">
        <v>2</v>
      </c>
      <c r="D104" s="57" t="s">
        <v>20</v>
      </c>
      <c r="E104" s="58" t="s">
        <v>15</v>
      </c>
      <c r="F104" s="59">
        <v>1</v>
      </c>
      <c r="G104" s="60" t="s">
        <v>34</v>
      </c>
      <c r="H104" s="127" t="s">
        <v>23</v>
      </c>
      <c r="I104" s="129"/>
      <c r="J104" s="28">
        <f>K104*0.7</f>
        <v>2186.1</v>
      </c>
      <c r="K104" s="75">
        <v>3123</v>
      </c>
      <c r="L104" s="27">
        <v>0</v>
      </c>
      <c r="M104" s="76">
        <v>1</v>
      </c>
    </row>
    <row r="105" spans="1:13" ht="18" x14ac:dyDescent="0.25">
      <c r="A105" s="87"/>
      <c r="B105" s="87"/>
      <c r="C105" s="82">
        <v>3</v>
      </c>
      <c r="D105" s="113" t="s">
        <v>16</v>
      </c>
      <c r="E105" s="114"/>
      <c r="F105" s="114"/>
      <c r="G105" s="114"/>
      <c r="H105" s="114"/>
      <c r="I105" s="66" t="s">
        <v>5</v>
      </c>
      <c r="J105" s="83">
        <f>SUM(J103:J104)</f>
        <v>6779.0159999999996</v>
      </c>
      <c r="K105" s="13"/>
      <c r="L105" s="13"/>
      <c r="M105" s="13"/>
    </row>
    <row r="106" spans="1:13" ht="18" x14ac:dyDescent="0.25">
      <c r="A106" s="87"/>
      <c r="B106" s="87"/>
      <c r="C106" s="82">
        <v>4</v>
      </c>
      <c r="D106" s="115" t="s">
        <v>35</v>
      </c>
      <c r="E106" s="116"/>
      <c r="F106" s="116"/>
      <c r="G106" s="116"/>
      <c r="H106" s="116"/>
      <c r="I106" s="67">
        <v>4.8819999999999997</v>
      </c>
      <c r="J106" s="84">
        <f>J105*I106</f>
        <v>33095.156111999997</v>
      </c>
      <c r="K106" s="117"/>
      <c r="L106" s="117"/>
      <c r="M106" s="117"/>
    </row>
    <row r="107" spans="1:13" ht="18" x14ac:dyDescent="0.25">
      <c r="A107" s="87"/>
      <c r="B107" s="87"/>
      <c r="C107" s="82">
        <v>5</v>
      </c>
      <c r="D107" s="113" t="s">
        <v>38</v>
      </c>
      <c r="E107" s="114"/>
      <c r="F107" s="114"/>
      <c r="G107" s="114"/>
      <c r="H107" s="114"/>
      <c r="I107" s="67" t="s">
        <v>5</v>
      </c>
      <c r="J107" s="85">
        <f>J106*1.2</f>
        <v>39714.187334399998</v>
      </c>
      <c r="K107" s="13"/>
      <c r="L107" s="13"/>
      <c r="M107" s="13"/>
    </row>
    <row r="108" spans="1:13" x14ac:dyDescent="0.3">
      <c r="A108" s="87"/>
      <c r="B108" s="87"/>
      <c r="D108" s="13"/>
      <c r="E108" s="13"/>
      <c r="F108" s="13"/>
      <c r="G108" s="18"/>
      <c r="H108" s="19"/>
      <c r="I108" s="19"/>
      <c r="J108" s="29"/>
      <c r="K108" s="13"/>
      <c r="L108" s="13"/>
      <c r="M108" s="13"/>
    </row>
    <row r="109" spans="1:13" x14ac:dyDescent="0.3">
      <c r="A109" s="87"/>
      <c r="B109" s="87"/>
      <c r="D109" s="13"/>
      <c r="E109" s="13"/>
      <c r="F109" s="13"/>
      <c r="G109" s="18"/>
      <c r="H109" s="19"/>
      <c r="I109" s="19"/>
      <c r="J109" s="20"/>
      <c r="K109" s="13"/>
      <c r="L109" s="13"/>
      <c r="M109" s="13"/>
    </row>
    <row r="110" spans="1:13" x14ac:dyDescent="0.3">
      <c r="A110" s="87"/>
      <c r="B110" s="87"/>
      <c r="C110" s="118" t="s">
        <v>31</v>
      </c>
      <c r="D110" s="119"/>
      <c r="E110" s="119"/>
      <c r="F110" s="119"/>
      <c r="G110" s="119"/>
      <c r="H110" s="119"/>
      <c r="I110" s="119"/>
      <c r="J110" s="119"/>
      <c r="K110" s="25"/>
      <c r="L110" s="13"/>
      <c r="M110" s="13"/>
    </row>
    <row r="111" spans="1:13" x14ac:dyDescent="0.3">
      <c r="A111" s="87"/>
      <c r="B111" s="87"/>
      <c r="C111" s="88"/>
      <c r="D111" s="89"/>
      <c r="E111" s="89"/>
      <c r="F111" s="89"/>
      <c r="G111" s="89"/>
      <c r="H111" s="89"/>
      <c r="I111" s="89"/>
      <c r="J111" s="89"/>
      <c r="K111" s="25"/>
      <c r="L111" s="13"/>
      <c r="M111" s="13"/>
    </row>
    <row r="112" spans="1:13" x14ac:dyDescent="0.3">
      <c r="A112" s="87"/>
      <c r="B112" s="87"/>
      <c r="C112" s="86"/>
      <c r="D112" s="86"/>
      <c r="E112" s="86"/>
      <c r="F112" s="86"/>
      <c r="G112" s="37"/>
      <c r="H112" s="38"/>
      <c r="I112" s="38"/>
      <c r="J112" s="39"/>
      <c r="K112" s="25"/>
      <c r="L112" s="13"/>
      <c r="M112" s="13"/>
    </row>
    <row r="113" spans="1:13" ht="18" x14ac:dyDescent="0.25">
      <c r="A113" s="87"/>
      <c r="B113" s="87"/>
      <c r="C113" s="107" t="s">
        <v>32</v>
      </c>
      <c r="D113" s="107"/>
      <c r="E113" s="107"/>
      <c r="F113" s="108"/>
      <c r="G113" s="108"/>
      <c r="H113" s="108"/>
      <c r="I113" s="108"/>
      <c r="J113" s="108"/>
      <c r="K113" s="108"/>
      <c r="L113" s="13"/>
      <c r="M113" s="13"/>
    </row>
    <row r="114" spans="1:13" x14ac:dyDescent="0.3">
      <c r="A114" s="87"/>
      <c r="B114" s="87"/>
      <c r="C114" s="86"/>
      <c r="D114" s="86"/>
      <c r="E114" s="86"/>
      <c r="F114" s="86"/>
      <c r="G114" s="37"/>
      <c r="H114" s="38"/>
      <c r="I114" s="38"/>
      <c r="J114" s="39"/>
      <c r="K114" s="25"/>
      <c r="L114" s="13"/>
      <c r="M114" s="13"/>
    </row>
    <row r="115" spans="1:13" ht="18" x14ac:dyDescent="0.25">
      <c r="A115" s="87"/>
      <c r="B115" s="87"/>
      <c r="C115" s="86"/>
      <c r="D115" s="40"/>
      <c r="E115" s="40"/>
      <c r="F115" s="40"/>
      <c r="G115" s="41"/>
      <c r="H115" s="42"/>
      <c r="I115" s="42"/>
      <c r="J115" s="43"/>
      <c r="K115" s="13"/>
      <c r="L115" s="13"/>
      <c r="M115" s="13"/>
    </row>
    <row r="116" spans="1:13" x14ac:dyDescent="0.3">
      <c r="A116" s="87"/>
      <c r="B116" s="87"/>
      <c r="D116" s="13"/>
      <c r="E116" s="13"/>
      <c r="F116" s="13"/>
      <c r="G116" s="18"/>
      <c r="H116" s="19"/>
      <c r="I116" s="19"/>
      <c r="J116" s="20"/>
      <c r="K116" s="13"/>
      <c r="L116" s="13"/>
      <c r="M116" s="13"/>
    </row>
    <row r="117" spans="1:13" x14ac:dyDescent="0.3">
      <c r="A117" s="87"/>
      <c r="B117" s="87"/>
      <c r="D117" s="87"/>
      <c r="E117" s="87"/>
      <c r="F117" s="87"/>
      <c r="K117" s="87"/>
      <c r="L117" s="87"/>
      <c r="M117" s="87"/>
    </row>
    <row r="118" spans="1:13" x14ac:dyDescent="0.3">
      <c r="A118" s="87"/>
      <c r="B118" s="87"/>
      <c r="D118" s="87"/>
      <c r="E118" s="87"/>
      <c r="F118" s="87"/>
      <c r="K118" s="149" t="s">
        <v>0</v>
      </c>
      <c r="L118" s="150"/>
      <c r="M118" s="150"/>
    </row>
    <row r="119" spans="1:13" x14ac:dyDescent="0.3">
      <c r="A119" s="87"/>
      <c r="B119" s="87"/>
      <c r="D119" s="87"/>
      <c r="E119" s="87"/>
      <c r="F119" s="87"/>
      <c r="K119" s="87"/>
      <c r="L119" s="87"/>
      <c r="M119" s="87"/>
    </row>
    <row r="120" spans="1:13" ht="15.75" x14ac:dyDescent="0.25">
      <c r="A120" s="87"/>
      <c r="B120" s="87"/>
      <c r="C120" s="151"/>
      <c r="D120" s="152"/>
      <c r="E120" s="152"/>
      <c r="F120" s="152"/>
      <c r="G120" s="152"/>
      <c r="H120" s="87"/>
      <c r="I120" s="87"/>
      <c r="J120" s="87"/>
      <c r="K120" s="13"/>
      <c r="L120" s="13"/>
      <c r="M120" s="13"/>
    </row>
    <row r="121" spans="1:13" ht="18" x14ac:dyDescent="0.25">
      <c r="A121" s="87"/>
      <c r="B121" s="87"/>
      <c r="C121" s="61"/>
      <c r="D121" s="91"/>
      <c r="E121" s="91"/>
      <c r="F121" s="91"/>
      <c r="G121" s="91"/>
      <c r="H121" s="92"/>
      <c r="I121" s="93"/>
      <c r="J121" s="93"/>
      <c r="K121" s="13"/>
      <c r="L121" s="13"/>
      <c r="M121" s="13"/>
    </row>
    <row r="122" spans="1:13" ht="18" x14ac:dyDescent="0.25">
      <c r="A122" s="87"/>
      <c r="B122" s="87"/>
      <c r="C122" s="62"/>
      <c r="D122" s="14"/>
      <c r="E122" s="14"/>
      <c r="F122" s="14"/>
      <c r="G122" s="14"/>
      <c r="H122" s="145" t="s">
        <v>19</v>
      </c>
      <c r="I122" s="145"/>
      <c r="J122" s="145"/>
      <c r="K122" s="13"/>
      <c r="L122" s="13"/>
      <c r="M122" s="13"/>
    </row>
    <row r="123" spans="1:13" ht="17.25" x14ac:dyDescent="0.25">
      <c r="A123" s="87"/>
      <c r="B123" s="87"/>
      <c r="C123" s="146"/>
      <c r="D123" s="146"/>
      <c r="E123" s="146"/>
      <c r="F123" s="146"/>
      <c r="G123" s="146"/>
      <c r="H123" s="147" t="s">
        <v>47</v>
      </c>
      <c r="I123" s="147"/>
      <c r="J123" s="147"/>
      <c r="K123" s="13"/>
      <c r="L123" s="13"/>
      <c r="M123" s="13"/>
    </row>
    <row r="124" spans="1:13" ht="18" x14ac:dyDescent="0.25">
      <c r="A124" s="87"/>
      <c r="B124" s="87"/>
      <c r="C124" s="7"/>
      <c r="D124" s="94"/>
      <c r="E124" s="94"/>
      <c r="F124" s="94"/>
      <c r="G124" s="94"/>
      <c r="H124" s="147"/>
      <c r="I124" s="147"/>
      <c r="J124" s="147"/>
      <c r="K124" s="108"/>
      <c r="L124" s="13"/>
      <c r="M124" s="13"/>
    </row>
    <row r="125" spans="1:13" ht="18" x14ac:dyDescent="0.25">
      <c r="A125" s="87"/>
      <c r="B125" s="87"/>
      <c r="C125" s="63"/>
      <c r="D125" s="24"/>
      <c r="E125" s="24"/>
      <c r="F125" s="24"/>
      <c r="G125" s="24"/>
      <c r="H125" s="17"/>
      <c r="I125" s="17"/>
      <c r="J125" s="17"/>
      <c r="K125" s="148"/>
      <c r="L125" s="148"/>
      <c r="M125" s="13"/>
    </row>
    <row r="126" spans="1:13" ht="18" x14ac:dyDescent="0.25">
      <c r="A126" s="87"/>
      <c r="B126" s="87"/>
      <c r="C126" s="63"/>
      <c r="D126" s="24"/>
      <c r="E126" s="24"/>
      <c r="F126" s="24"/>
      <c r="G126" s="24"/>
      <c r="H126" s="35"/>
      <c r="I126" s="35"/>
      <c r="J126" s="35"/>
      <c r="K126" s="13"/>
      <c r="L126" s="13"/>
      <c r="M126" s="13"/>
    </row>
    <row r="127" spans="1:13" ht="18" x14ac:dyDescent="0.25">
      <c r="A127" s="87"/>
      <c r="B127" s="87"/>
      <c r="C127" s="63"/>
      <c r="D127" s="24"/>
      <c r="E127" s="24"/>
      <c r="F127" s="24"/>
      <c r="G127" s="24"/>
      <c r="H127" s="35"/>
      <c r="I127" s="35"/>
      <c r="J127" s="35"/>
      <c r="K127" s="22"/>
      <c r="L127" s="13"/>
      <c r="M127" s="13"/>
    </row>
    <row r="128" spans="1:13" ht="18" x14ac:dyDescent="0.25">
      <c r="A128" s="87"/>
      <c r="B128" s="87"/>
      <c r="C128" s="63"/>
      <c r="D128" s="24"/>
      <c r="E128" s="24"/>
      <c r="F128" s="24"/>
      <c r="G128" s="24"/>
      <c r="H128" s="140" t="s">
        <v>39</v>
      </c>
      <c r="I128" s="140"/>
      <c r="J128" s="140"/>
      <c r="K128" s="108"/>
      <c r="L128" s="108"/>
      <c r="M128" s="13"/>
    </row>
    <row r="129" spans="1:13" x14ac:dyDescent="0.3">
      <c r="A129" s="87"/>
      <c r="B129" s="87"/>
      <c r="D129" s="13"/>
      <c r="E129" s="13"/>
      <c r="F129" s="13"/>
      <c r="G129" s="18"/>
      <c r="H129" s="19"/>
      <c r="I129" s="19"/>
      <c r="J129" s="20"/>
      <c r="K129" s="13"/>
      <c r="L129" s="13"/>
      <c r="M129" s="13"/>
    </row>
    <row r="130" spans="1:13" ht="23.25" x14ac:dyDescent="0.25">
      <c r="A130" s="87"/>
      <c r="B130" s="87"/>
      <c r="C130" s="141" t="s">
        <v>1</v>
      </c>
      <c r="D130" s="142"/>
      <c r="E130" s="142"/>
      <c r="F130" s="142"/>
      <c r="G130" s="142"/>
      <c r="H130" s="142"/>
      <c r="I130" s="142"/>
      <c r="J130" s="142"/>
      <c r="K130" s="46"/>
      <c r="L130" s="46"/>
      <c r="M130" s="13"/>
    </row>
    <row r="131" spans="1:13" x14ac:dyDescent="0.3">
      <c r="A131" s="87"/>
      <c r="B131" s="87"/>
      <c r="C131" s="130" t="s">
        <v>25</v>
      </c>
      <c r="D131" s="131"/>
      <c r="E131" s="135" t="s">
        <v>48</v>
      </c>
      <c r="F131" s="135"/>
      <c r="G131" s="135"/>
      <c r="H131" s="135"/>
      <c r="I131" s="135"/>
      <c r="J131" s="135"/>
      <c r="K131" s="90"/>
      <c r="L131" s="90"/>
      <c r="M131" s="13"/>
    </row>
    <row r="132" spans="1:13" x14ac:dyDescent="0.3">
      <c r="A132" s="87"/>
      <c r="B132" s="87"/>
      <c r="C132" s="130" t="s">
        <v>2</v>
      </c>
      <c r="D132" s="131"/>
      <c r="E132" s="143" t="s">
        <v>3</v>
      </c>
      <c r="F132" s="144"/>
      <c r="G132" s="144"/>
      <c r="H132" s="144"/>
      <c r="I132" s="144"/>
      <c r="J132" s="144"/>
      <c r="K132" s="90"/>
      <c r="L132" s="90"/>
      <c r="M132" s="13"/>
    </row>
    <row r="133" spans="1:13" x14ac:dyDescent="0.3">
      <c r="A133" s="87"/>
      <c r="B133" s="87"/>
      <c r="C133" s="130" t="s">
        <v>4</v>
      </c>
      <c r="D133" s="131"/>
      <c r="E133" s="132" t="s">
        <v>26</v>
      </c>
      <c r="F133" s="133"/>
      <c r="G133" s="133"/>
      <c r="H133" s="133"/>
      <c r="I133" s="133"/>
      <c r="J133" s="133"/>
      <c r="K133" s="134"/>
      <c r="L133" s="134"/>
      <c r="M133" s="13"/>
    </row>
    <row r="134" spans="1:13" x14ac:dyDescent="0.3">
      <c r="A134" s="87"/>
      <c r="B134" s="87"/>
      <c r="C134" s="130" t="s">
        <v>24</v>
      </c>
      <c r="D134" s="131"/>
      <c r="E134" s="135" t="s">
        <v>30</v>
      </c>
      <c r="F134" s="135"/>
      <c r="G134" s="135"/>
      <c r="H134" s="135"/>
      <c r="I134" s="135"/>
      <c r="J134" s="135"/>
      <c r="K134" s="90"/>
      <c r="L134" s="90"/>
      <c r="M134" s="13"/>
    </row>
    <row r="135" spans="1:13" x14ac:dyDescent="0.3">
      <c r="A135" s="87"/>
      <c r="B135" s="87"/>
      <c r="C135" s="136" t="s">
        <v>6</v>
      </c>
      <c r="D135" s="137"/>
      <c r="E135" s="138" t="s">
        <v>33</v>
      </c>
      <c r="F135" s="138"/>
      <c r="G135" s="138"/>
      <c r="H135" s="138"/>
      <c r="I135" s="138"/>
      <c r="J135" s="138"/>
      <c r="K135" s="139"/>
      <c r="L135" s="139"/>
      <c r="M135" s="13"/>
    </row>
    <row r="136" spans="1:13" ht="19.5" thickBot="1" x14ac:dyDescent="0.35">
      <c r="A136" s="87"/>
      <c r="B136" s="87"/>
      <c r="C136" s="90"/>
      <c r="D136" s="46"/>
      <c r="E136" s="46"/>
      <c r="F136" s="46"/>
      <c r="G136" s="48"/>
      <c r="H136" s="49"/>
      <c r="I136" s="49"/>
      <c r="J136" s="50"/>
      <c r="K136" s="46"/>
      <c r="L136" s="46"/>
      <c r="M136" s="13"/>
    </row>
    <row r="137" spans="1:13" ht="75" x14ac:dyDescent="0.25">
      <c r="A137" s="6"/>
      <c r="B137" s="6"/>
      <c r="C137" s="51" t="s">
        <v>7</v>
      </c>
      <c r="D137" s="51" t="s">
        <v>8</v>
      </c>
      <c r="E137" s="52" t="s">
        <v>9</v>
      </c>
      <c r="F137" s="51" t="s">
        <v>10</v>
      </c>
      <c r="G137" s="51" t="s">
        <v>11</v>
      </c>
      <c r="H137" s="120" t="s">
        <v>12</v>
      </c>
      <c r="I137" s="121"/>
      <c r="J137" s="53" t="s">
        <v>13</v>
      </c>
      <c r="K137" s="68" t="s">
        <v>27</v>
      </c>
      <c r="L137" s="69" t="s">
        <v>28</v>
      </c>
      <c r="M137" s="70" t="s">
        <v>29</v>
      </c>
    </row>
    <row r="138" spans="1:13" ht="18" x14ac:dyDescent="0.25">
      <c r="A138" s="71"/>
      <c r="B138" s="71"/>
      <c r="C138" s="26">
        <v>1</v>
      </c>
      <c r="D138" s="26">
        <v>2</v>
      </c>
      <c r="E138" s="26">
        <v>3</v>
      </c>
      <c r="F138" s="26">
        <v>4</v>
      </c>
      <c r="G138" s="26">
        <v>5</v>
      </c>
      <c r="H138" s="122">
        <v>6</v>
      </c>
      <c r="I138" s="123"/>
      <c r="J138" s="72">
        <v>7</v>
      </c>
      <c r="K138" s="73">
        <v>8</v>
      </c>
      <c r="L138" s="73">
        <v>9</v>
      </c>
      <c r="M138" s="73">
        <v>10</v>
      </c>
    </row>
    <row r="139" spans="1:13" ht="21" x14ac:dyDescent="0.35">
      <c r="A139" s="8"/>
      <c r="B139" s="8"/>
      <c r="C139" s="124" t="s">
        <v>17</v>
      </c>
      <c r="D139" s="125"/>
      <c r="E139" s="125"/>
      <c r="F139" s="125"/>
      <c r="G139" s="125"/>
      <c r="H139" s="125"/>
      <c r="I139" s="125"/>
      <c r="J139" s="125"/>
      <c r="K139" s="108"/>
      <c r="L139" s="108"/>
      <c r="M139" s="126"/>
    </row>
    <row r="140" spans="1:13" x14ac:dyDescent="0.3">
      <c r="A140" s="87"/>
      <c r="B140" s="87"/>
      <c r="D140" s="13"/>
      <c r="E140" s="13"/>
      <c r="F140" s="13"/>
      <c r="G140" s="18"/>
      <c r="H140" s="19"/>
      <c r="I140" s="19"/>
      <c r="J140" s="20"/>
      <c r="K140" s="21"/>
      <c r="L140" s="22"/>
      <c r="M140" s="34"/>
    </row>
    <row r="141" spans="1:13" ht="115.5" x14ac:dyDescent="0.25">
      <c r="A141" s="87"/>
      <c r="B141" s="87"/>
      <c r="C141" s="64">
        <v>1</v>
      </c>
      <c r="D141" s="54" t="s">
        <v>49</v>
      </c>
      <c r="E141" s="55" t="s">
        <v>14</v>
      </c>
      <c r="F141" s="56">
        <v>1</v>
      </c>
      <c r="G141" s="96" t="s">
        <v>44</v>
      </c>
      <c r="H141" s="127" t="s">
        <v>36</v>
      </c>
      <c r="I141" s="128"/>
      <c r="J141" s="78">
        <f>(K141+L141*M141) *1.15*1.2</f>
        <v>9539.746799999999</v>
      </c>
      <c r="K141" s="79">
        <v>2377</v>
      </c>
      <c r="L141" s="80">
        <v>1.79</v>
      </c>
      <c r="M141" s="81">
        <v>2534</v>
      </c>
    </row>
    <row r="142" spans="1:13" ht="49.5" x14ac:dyDescent="0.25">
      <c r="A142" s="87"/>
      <c r="B142" s="87"/>
      <c r="C142" s="65">
        <v>2</v>
      </c>
      <c r="D142" s="57" t="s">
        <v>20</v>
      </c>
      <c r="E142" s="58" t="s">
        <v>15</v>
      </c>
      <c r="F142" s="59">
        <v>1</v>
      </c>
      <c r="G142" s="60" t="s">
        <v>34</v>
      </c>
      <c r="H142" s="127" t="s">
        <v>23</v>
      </c>
      <c r="I142" s="129"/>
      <c r="J142" s="28">
        <f>K142*0.7</f>
        <v>2186.1</v>
      </c>
      <c r="K142" s="75">
        <v>3123</v>
      </c>
      <c r="L142" s="27">
        <v>0</v>
      </c>
      <c r="M142" s="76">
        <v>1</v>
      </c>
    </row>
    <row r="143" spans="1:13" ht="18" x14ac:dyDescent="0.25">
      <c r="A143" s="87"/>
      <c r="B143" s="87"/>
      <c r="C143" s="82">
        <v>3</v>
      </c>
      <c r="D143" s="113" t="s">
        <v>16</v>
      </c>
      <c r="E143" s="114"/>
      <c r="F143" s="114"/>
      <c r="G143" s="114"/>
      <c r="H143" s="114"/>
      <c r="I143" s="66" t="s">
        <v>5</v>
      </c>
      <c r="J143" s="83">
        <f>SUM(J141:J142)</f>
        <v>11725.846799999999</v>
      </c>
      <c r="K143" s="13"/>
      <c r="L143" s="13"/>
      <c r="M143" s="13"/>
    </row>
    <row r="144" spans="1:13" ht="18" x14ac:dyDescent="0.25">
      <c r="A144" s="87"/>
      <c r="B144" s="87"/>
      <c r="C144" s="82">
        <v>4</v>
      </c>
      <c r="D144" s="115" t="s">
        <v>35</v>
      </c>
      <c r="E144" s="116"/>
      <c r="F144" s="116"/>
      <c r="G144" s="116"/>
      <c r="H144" s="116"/>
      <c r="I144" s="67">
        <v>4.8819999999999997</v>
      </c>
      <c r="J144" s="84">
        <f>J143*I144</f>
        <v>57245.58407759999</v>
      </c>
      <c r="K144" s="117"/>
      <c r="L144" s="117"/>
      <c r="M144" s="117"/>
    </row>
    <row r="145" spans="1:13" ht="18" x14ac:dyDescent="0.25">
      <c r="A145" s="87"/>
      <c r="B145" s="87"/>
      <c r="C145" s="82">
        <v>5</v>
      </c>
      <c r="D145" s="113" t="s">
        <v>50</v>
      </c>
      <c r="E145" s="114"/>
      <c r="F145" s="114"/>
      <c r="G145" s="114"/>
      <c r="H145" s="114"/>
      <c r="I145" s="67" t="s">
        <v>5</v>
      </c>
      <c r="J145" s="85">
        <f>J144*1.2</f>
        <v>68694.700893119982</v>
      </c>
      <c r="K145" s="13"/>
      <c r="L145" s="13"/>
      <c r="M145" s="13"/>
    </row>
    <row r="146" spans="1:13" x14ac:dyDescent="0.3">
      <c r="A146" s="87"/>
      <c r="B146" s="87"/>
      <c r="D146" s="13"/>
      <c r="E146" s="13"/>
      <c r="F146" s="13"/>
      <c r="G146" s="18"/>
      <c r="H146" s="19"/>
      <c r="I146" s="19"/>
      <c r="J146" s="29"/>
      <c r="K146" s="13"/>
      <c r="L146" s="13"/>
      <c r="M146" s="13"/>
    </row>
    <row r="147" spans="1:13" x14ac:dyDescent="0.3">
      <c r="A147" s="87"/>
      <c r="B147" s="87"/>
      <c r="D147" s="13"/>
      <c r="E147" s="13"/>
      <c r="F147" s="13"/>
      <c r="G147" s="18"/>
      <c r="H147" s="19"/>
      <c r="I147" s="19"/>
      <c r="J147" s="20"/>
      <c r="K147" s="13"/>
      <c r="L147" s="13"/>
      <c r="M147" s="13"/>
    </row>
    <row r="148" spans="1:13" x14ac:dyDescent="0.3">
      <c r="A148" s="87"/>
      <c r="B148" s="87"/>
      <c r="C148" s="118" t="s">
        <v>31</v>
      </c>
      <c r="D148" s="119"/>
      <c r="E148" s="119"/>
      <c r="F148" s="119"/>
      <c r="G148" s="119"/>
      <c r="H148" s="119"/>
      <c r="I148" s="119"/>
      <c r="J148" s="119"/>
      <c r="K148" s="25"/>
      <c r="L148" s="13"/>
      <c r="M148" s="13"/>
    </row>
    <row r="149" spans="1:13" x14ac:dyDescent="0.3">
      <c r="A149" s="87"/>
      <c r="B149" s="87"/>
      <c r="C149" s="88"/>
      <c r="D149" s="89"/>
      <c r="E149" s="89"/>
      <c r="F149" s="89"/>
      <c r="G149" s="89"/>
      <c r="H149" s="89"/>
      <c r="I149" s="89"/>
      <c r="J149" s="89"/>
      <c r="K149" s="25"/>
      <c r="L149" s="13"/>
      <c r="M149" s="13"/>
    </row>
    <row r="150" spans="1:13" x14ac:dyDescent="0.3">
      <c r="A150" s="87"/>
      <c r="B150" s="87"/>
      <c r="C150" s="86"/>
      <c r="D150" s="86"/>
      <c r="E150" s="86"/>
      <c r="F150" s="86"/>
      <c r="G150" s="37"/>
      <c r="H150" s="38"/>
      <c r="I150" s="38"/>
      <c r="J150" s="39"/>
      <c r="K150" s="25"/>
      <c r="L150" s="13"/>
      <c r="M150" s="13"/>
    </row>
    <row r="151" spans="1:13" ht="18" x14ac:dyDescent="0.25">
      <c r="A151" s="87"/>
      <c r="B151" s="87"/>
      <c r="C151" s="107" t="s">
        <v>32</v>
      </c>
      <c r="D151" s="107"/>
      <c r="E151" s="107"/>
      <c r="F151" s="108"/>
      <c r="G151" s="108"/>
      <c r="H151" s="108"/>
      <c r="I151" s="108"/>
      <c r="J151" s="108"/>
      <c r="K151" s="108"/>
      <c r="L151" s="13"/>
      <c r="M151" s="13"/>
    </row>
    <row r="152" spans="1:13" x14ac:dyDescent="0.3">
      <c r="A152" s="87"/>
      <c r="B152" s="87"/>
      <c r="C152" s="86"/>
      <c r="D152" s="86"/>
      <c r="E152" s="86"/>
      <c r="F152" s="86"/>
      <c r="G152" s="37"/>
      <c r="H152" s="38"/>
      <c r="I152" s="38"/>
      <c r="J152" s="39"/>
      <c r="K152" s="25"/>
      <c r="L152" s="13"/>
      <c r="M152" s="13"/>
    </row>
    <row r="153" spans="1:13" ht="18" x14ac:dyDescent="0.25">
      <c r="A153" s="87"/>
      <c r="B153" s="87"/>
      <c r="C153" s="86"/>
      <c r="D153" s="40"/>
      <c r="E153" s="40"/>
      <c r="F153" s="40"/>
      <c r="G153" s="41"/>
      <c r="H153" s="42"/>
      <c r="I153" s="42"/>
      <c r="J153" s="43"/>
      <c r="K153" s="13"/>
      <c r="L153" s="13"/>
      <c r="M153" s="13"/>
    </row>
    <row r="154" spans="1:13" x14ac:dyDescent="0.3">
      <c r="A154" s="87"/>
      <c r="B154" s="87"/>
      <c r="D154" s="13"/>
      <c r="E154" s="13"/>
      <c r="F154" s="13"/>
      <c r="G154" s="18"/>
      <c r="H154" s="19"/>
      <c r="I154" s="19"/>
      <c r="J154" s="20"/>
      <c r="K154" s="13"/>
      <c r="L154" s="13"/>
      <c r="M154" s="13"/>
    </row>
    <row r="155" spans="1:13" x14ac:dyDescent="0.3">
      <c r="A155" s="87"/>
      <c r="B155" s="87"/>
      <c r="D155" s="87"/>
      <c r="E155" s="87"/>
      <c r="F155" s="87"/>
      <c r="K155" s="87"/>
      <c r="L155" s="87"/>
      <c r="M155" s="87"/>
    </row>
    <row r="156" spans="1:13" x14ac:dyDescent="0.3">
      <c r="A156" s="87"/>
      <c r="B156" s="87"/>
      <c r="D156" s="87"/>
      <c r="E156" s="87"/>
      <c r="F156" s="87"/>
      <c r="K156" s="149" t="s">
        <v>0</v>
      </c>
      <c r="L156" s="150"/>
      <c r="M156" s="150"/>
    </row>
    <row r="157" spans="1:13" x14ac:dyDescent="0.3">
      <c r="A157" s="87"/>
      <c r="B157" s="87"/>
      <c r="D157" s="87"/>
      <c r="E157" s="87"/>
      <c r="F157" s="87"/>
      <c r="K157" s="87"/>
      <c r="L157" s="87"/>
      <c r="M157" s="87"/>
    </row>
    <row r="158" spans="1:13" ht="15.75" x14ac:dyDescent="0.25">
      <c r="A158" s="87"/>
      <c r="B158" s="87"/>
      <c r="C158" s="151"/>
      <c r="D158" s="152"/>
      <c r="E158" s="152"/>
      <c r="F158" s="152"/>
      <c r="G158" s="152"/>
      <c r="H158" s="87"/>
      <c r="I158" s="87"/>
      <c r="J158" s="87"/>
      <c r="K158" s="13"/>
      <c r="L158" s="13"/>
      <c r="M158" s="13"/>
    </row>
    <row r="159" spans="1:13" ht="18" x14ac:dyDescent="0.25">
      <c r="A159" s="87"/>
      <c r="B159" s="87"/>
      <c r="C159" s="61"/>
      <c r="D159" s="91"/>
      <c r="E159" s="91"/>
      <c r="F159" s="91"/>
      <c r="G159" s="91"/>
      <c r="H159" s="92"/>
      <c r="I159" s="93"/>
      <c r="J159" s="93"/>
      <c r="K159" s="13"/>
      <c r="L159" s="13"/>
      <c r="M159" s="13"/>
    </row>
    <row r="160" spans="1:13" ht="18" x14ac:dyDescent="0.25">
      <c r="A160" s="87"/>
      <c r="B160" s="87"/>
      <c r="C160" s="62"/>
      <c r="D160" s="14"/>
      <c r="E160" s="14"/>
      <c r="F160" s="14"/>
      <c r="G160" s="14"/>
      <c r="H160" s="145" t="s">
        <v>19</v>
      </c>
      <c r="I160" s="145"/>
      <c r="J160" s="145"/>
      <c r="K160" s="13"/>
      <c r="L160" s="13"/>
      <c r="M160" s="13"/>
    </row>
    <row r="161" spans="1:13" ht="17.25" x14ac:dyDescent="0.25">
      <c r="A161" s="87"/>
      <c r="B161" s="87"/>
      <c r="C161" s="146"/>
      <c r="D161" s="146"/>
      <c r="E161" s="146"/>
      <c r="F161" s="146"/>
      <c r="G161" s="146"/>
      <c r="H161" s="147" t="s">
        <v>40</v>
      </c>
      <c r="I161" s="147"/>
      <c r="J161" s="147"/>
      <c r="K161" s="13"/>
      <c r="L161" s="13"/>
      <c r="M161" s="13"/>
    </row>
    <row r="162" spans="1:13" ht="18" x14ac:dyDescent="0.25">
      <c r="A162" s="87"/>
      <c r="B162" s="87"/>
      <c r="C162" s="7"/>
      <c r="D162" s="94"/>
      <c r="E162" s="94"/>
      <c r="F162" s="94"/>
      <c r="G162" s="94"/>
      <c r="H162" s="147"/>
      <c r="I162" s="147"/>
      <c r="J162" s="147"/>
      <c r="K162" s="108"/>
      <c r="L162" s="13"/>
      <c r="M162" s="13"/>
    </row>
    <row r="163" spans="1:13" ht="18" x14ac:dyDescent="0.25">
      <c r="A163" s="87"/>
      <c r="B163" s="87"/>
      <c r="C163" s="63"/>
      <c r="D163" s="24"/>
      <c r="E163" s="24"/>
      <c r="F163" s="24"/>
      <c r="G163" s="24"/>
      <c r="H163" s="17"/>
      <c r="I163" s="17"/>
      <c r="J163" s="17"/>
      <c r="K163" s="148"/>
      <c r="L163" s="148"/>
      <c r="M163" s="13"/>
    </row>
    <row r="164" spans="1:13" ht="18" x14ac:dyDescent="0.25">
      <c r="A164" s="87"/>
      <c r="B164" s="87"/>
      <c r="C164" s="63"/>
      <c r="D164" s="24"/>
      <c r="E164" s="24"/>
      <c r="F164" s="24"/>
      <c r="G164" s="24"/>
      <c r="H164" s="35"/>
      <c r="I164" s="35"/>
      <c r="J164" s="35"/>
      <c r="K164" s="13"/>
      <c r="L164" s="13"/>
      <c r="M164" s="13"/>
    </row>
    <row r="165" spans="1:13" ht="18" x14ac:dyDescent="0.25">
      <c r="A165" s="87"/>
      <c r="B165" s="87"/>
      <c r="C165" s="63"/>
      <c r="D165" s="24"/>
      <c r="E165" s="24"/>
      <c r="F165" s="24"/>
      <c r="G165" s="24"/>
      <c r="H165" s="35"/>
      <c r="I165" s="35"/>
      <c r="J165" s="35"/>
      <c r="K165" s="22"/>
      <c r="L165" s="13"/>
      <c r="M165" s="13"/>
    </row>
    <row r="166" spans="1:13" ht="18" x14ac:dyDescent="0.25">
      <c r="A166" s="87"/>
      <c r="B166" s="87"/>
      <c r="C166" s="63"/>
      <c r="D166" s="24"/>
      <c r="E166" s="24"/>
      <c r="F166" s="24"/>
      <c r="G166" s="24"/>
      <c r="H166" s="140" t="s">
        <v>39</v>
      </c>
      <c r="I166" s="140"/>
      <c r="J166" s="140"/>
      <c r="K166" s="108"/>
      <c r="L166" s="108"/>
      <c r="M166" s="13"/>
    </row>
    <row r="167" spans="1:13" x14ac:dyDescent="0.3">
      <c r="A167" s="87"/>
      <c r="B167" s="87"/>
      <c r="D167" s="13"/>
      <c r="E167" s="13"/>
      <c r="F167" s="13"/>
      <c r="G167" s="18"/>
      <c r="H167" s="19"/>
      <c r="I167" s="19"/>
      <c r="J167" s="20"/>
      <c r="K167" s="13"/>
      <c r="L167" s="13"/>
      <c r="M167" s="13"/>
    </row>
    <row r="168" spans="1:13" ht="23.25" x14ac:dyDescent="0.25">
      <c r="A168" s="87"/>
      <c r="B168" s="87"/>
      <c r="C168" s="141" t="s">
        <v>1</v>
      </c>
      <c r="D168" s="142"/>
      <c r="E168" s="142"/>
      <c r="F168" s="142"/>
      <c r="G168" s="142"/>
      <c r="H168" s="142"/>
      <c r="I168" s="142"/>
      <c r="J168" s="142"/>
      <c r="K168" s="46"/>
      <c r="L168" s="46"/>
      <c r="M168" s="13"/>
    </row>
    <row r="169" spans="1:13" x14ac:dyDescent="0.3">
      <c r="A169" s="87"/>
      <c r="B169" s="87"/>
      <c r="C169" s="130" t="s">
        <v>25</v>
      </c>
      <c r="D169" s="131"/>
      <c r="E169" s="135" t="s">
        <v>51</v>
      </c>
      <c r="F169" s="135"/>
      <c r="G169" s="135"/>
      <c r="H169" s="135"/>
      <c r="I169" s="135"/>
      <c r="J169" s="135"/>
      <c r="K169" s="90"/>
      <c r="L169" s="90"/>
      <c r="M169" s="13"/>
    </row>
    <row r="170" spans="1:13" x14ac:dyDescent="0.3">
      <c r="A170" s="87"/>
      <c r="B170" s="87"/>
      <c r="C170" s="130" t="s">
        <v>2</v>
      </c>
      <c r="D170" s="131"/>
      <c r="E170" s="143" t="s">
        <v>3</v>
      </c>
      <c r="F170" s="144"/>
      <c r="G170" s="144"/>
      <c r="H170" s="144"/>
      <c r="I170" s="144"/>
      <c r="J170" s="144"/>
      <c r="K170" s="90"/>
      <c r="L170" s="90"/>
      <c r="M170" s="13"/>
    </row>
    <row r="171" spans="1:13" x14ac:dyDescent="0.3">
      <c r="A171" s="87"/>
      <c r="B171" s="87"/>
      <c r="C171" s="130" t="s">
        <v>4</v>
      </c>
      <c r="D171" s="131"/>
      <c r="E171" s="132" t="s">
        <v>26</v>
      </c>
      <c r="F171" s="133"/>
      <c r="G171" s="133"/>
      <c r="H171" s="133"/>
      <c r="I171" s="133"/>
      <c r="J171" s="133"/>
      <c r="K171" s="134"/>
      <c r="L171" s="134"/>
      <c r="M171" s="13"/>
    </row>
    <row r="172" spans="1:13" x14ac:dyDescent="0.3">
      <c r="A172" s="87"/>
      <c r="B172" s="87"/>
      <c r="C172" s="130" t="s">
        <v>24</v>
      </c>
      <c r="D172" s="131"/>
      <c r="E172" s="135" t="s">
        <v>30</v>
      </c>
      <c r="F172" s="135"/>
      <c r="G172" s="135"/>
      <c r="H172" s="135"/>
      <c r="I172" s="135"/>
      <c r="J172" s="135"/>
      <c r="K172" s="90"/>
      <c r="L172" s="90"/>
      <c r="M172" s="13"/>
    </row>
    <row r="173" spans="1:13" x14ac:dyDescent="0.3">
      <c r="A173" s="87"/>
      <c r="B173" s="87"/>
      <c r="C173" s="136" t="s">
        <v>6</v>
      </c>
      <c r="D173" s="137"/>
      <c r="E173" s="138" t="s">
        <v>33</v>
      </c>
      <c r="F173" s="138"/>
      <c r="G173" s="138"/>
      <c r="H173" s="138"/>
      <c r="I173" s="138"/>
      <c r="J173" s="138"/>
      <c r="K173" s="139"/>
      <c r="L173" s="139"/>
      <c r="M173" s="13"/>
    </row>
    <row r="174" spans="1:13" ht="19.5" thickBot="1" x14ac:dyDescent="0.35">
      <c r="A174" s="87"/>
      <c r="B174" s="87"/>
      <c r="C174" s="90"/>
      <c r="D174" s="46"/>
      <c r="E174" s="46"/>
      <c r="F174" s="46"/>
      <c r="G174" s="48"/>
      <c r="H174" s="49"/>
      <c r="I174" s="49"/>
      <c r="J174" s="50"/>
      <c r="K174" s="46"/>
      <c r="L174" s="46"/>
      <c r="M174" s="13"/>
    </row>
    <row r="175" spans="1:13" ht="75" x14ac:dyDescent="0.25">
      <c r="A175" s="6"/>
      <c r="B175" s="6"/>
      <c r="C175" s="51" t="s">
        <v>7</v>
      </c>
      <c r="D175" s="51" t="s">
        <v>8</v>
      </c>
      <c r="E175" s="52" t="s">
        <v>9</v>
      </c>
      <c r="F175" s="51" t="s">
        <v>10</v>
      </c>
      <c r="G175" s="51" t="s">
        <v>11</v>
      </c>
      <c r="H175" s="120" t="s">
        <v>12</v>
      </c>
      <c r="I175" s="121"/>
      <c r="J175" s="53" t="s">
        <v>13</v>
      </c>
      <c r="K175" s="68" t="s">
        <v>27</v>
      </c>
      <c r="L175" s="69" t="s">
        <v>28</v>
      </c>
      <c r="M175" s="70" t="s">
        <v>29</v>
      </c>
    </row>
    <row r="176" spans="1:13" ht="18" x14ac:dyDescent="0.25">
      <c r="A176" s="71"/>
      <c r="B176" s="71"/>
      <c r="C176" s="26">
        <v>1</v>
      </c>
      <c r="D176" s="26">
        <v>2</v>
      </c>
      <c r="E176" s="26">
        <v>3</v>
      </c>
      <c r="F176" s="26">
        <v>4</v>
      </c>
      <c r="G176" s="26">
        <v>5</v>
      </c>
      <c r="H176" s="122">
        <v>6</v>
      </c>
      <c r="I176" s="123"/>
      <c r="J176" s="72">
        <v>7</v>
      </c>
      <c r="K176" s="73">
        <v>8</v>
      </c>
      <c r="L176" s="73">
        <v>9</v>
      </c>
      <c r="M176" s="73">
        <v>10</v>
      </c>
    </row>
    <row r="177" spans="1:13" ht="21" x14ac:dyDescent="0.35">
      <c r="A177" s="8"/>
      <c r="B177" s="8"/>
      <c r="C177" s="124" t="s">
        <v>17</v>
      </c>
      <c r="D177" s="125"/>
      <c r="E177" s="125"/>
      <c r="F177" s="125"/>
      <c r="G177" s="125"/>
      <c r="H177" s="125"/>
      <c r="I177" s="125"/>
      <c r="J177" s="125"/>
      <c r="K177" s="108"/>
      <c r="L177" s="108"/>
      <c r="M177" s="126"/>
    </row>
    <row r="178" spans="1:13" x14ac:dyDescent="0.3">
      <c r="A178" s="87"/>
      <c r="B178" s="87"/>
      <c r="D178" s="13"/>
      <c r="E178" s="13"/>
      <c r="F178" s="13"/>
      <c r="G178" s="18"/>
      <c r="H178" s="19"/>
      <c r="I178" s="19"/>
      <c r="J178" s="20"/>
      <c r="K178" s="21"/>
      <c r="L178" s="22"/>
      <c r="M178" s="34"/>
    </row>
    <row r="179" spans="1:13" ht="115.5" x14ac:dyDescent="0.25">
      <c r="A179" s="87"/>
      <c r="B179" s="87"/>
      <c r="C179" s="64">
        <v>1</v>
      </c>
      <c r="D179" s="54" t="s">
        <v>52</v>
      </c>
      <c r="E179" s="55" t="s">
        <v>14</v>
      </c>
      <c r="F179" s="56">
        <v>1</v>
      </c>
      <c r="G179" s="96" t="s">
        <v>44</v>
      </c>
      <c r="H179" s="127" t="s">
        <v>36</v>
      </c>
      <c r="I179" s="128"/>
      <c r="J179" s="78">
        <f>(K179+L179*M179) *1.15*1.2</f>
        <v>3024.9599999999996</v>
      </c>
      <c r="K179" s="79">
        <v>2192</v>
      </c>
      <c r="L179" s="80">
        <v>0</v>
      </c>
      <c r="M179" s="81">
        <v>77.2</v>
      </c>
    </row>
    <row r="180" spans="1:13" ht="49.5" x14ac:dyDescent="0.25">
      <c r="A180" s="87"/>
      <c r="B180" s="87"/>
      <c r="C180" s="65">
        <v>2</v>
      </c>
      <c r="D180" s="57" t="s">
        <v>20</v>
      </c>
      <c r="E180" s="58" t="s">
        <v>15</v>
      </c>
      <c r="F180" s="59">
        <v>1</v>
      </c>
      <c r="G180" s="60" t="s">
        <v>34</v>
      </c>
      <c r="H180" s="127" t="s">
        <v>23</v>
      </c>
      <c r="I180" s="129"/>
      <c r="J180" s="28">
        <f>K180*0.7</f>
        <v>2186.1</v>
      </c>
      <c r="K180" s="75">
        <v>3123</v>
      </c>
      <c r="L180" s="27">
        <v>0</v>
      </c>
      <c r="M180" s="76">
        <v>1</v>
      </c>
    </row>
    <row r="181" spans="1:13" ht="18" x14ac:dyDescent="0.25">
      <c r="A181" s="87"/>
      <c r="B181" s="87"/>
      <c r="C181" s="82">
        <v>3</v>
      </c>
      <c r="D181" s="113" t="s">
        <v>16</v>
      </c>
      <c r="E181" s="114"/>
      <c r="F181" s="114"/>
      <c r="G181" s="114"/>
      <c r="H181" s="114"/>
      <c r="I181" s="66" t="s">
        <v>5</v>
      </c>
      <c r="J181" s="83">
        <f>SUM(J179:J180)</f>
        <v>5211.0599999999995</v>
      </c>
      <c r="K181" s="13"/>
      <c r="L181" s="13"/>
      <c r="M181" s="13"/>
    </row>
    <row r="182" spans="1:13" ht="18" x14ac:dyDescent="0.25">
      <c r="A182" s="87"/>
      <c r="B182" s="87"/>
      <c r="C182" s="82">
        <v>4</v>
      </c>
      <c r="D182" s="115" t="s">
        <v>35</v>
      </c>
      <c r="E182" s="116"/>
      <c r="F182" s="116"/>
      <c r="G182" s="116"/>
      <c r="H182" s="116"/>
      <c r="I182" s="67">
        <v>4.8819999999999997</v>
      </c>
      <c r="J182" s="84">
        <f>J181*I182</f>
        <v>25440.394919999995</v>
      </c>
      <c r="K182" s="117"/>
      <c r="L182" s="117"/>
      <c r="M182" s="117"/>
    </row>
    <row r="183" spans="1:13" ht="18" x14ac:dyDescent="0.25">
      <c r="A183" s="87"/>
      <c r="B183" s="87"/>
      <c r="C183" s="82">
        <v>5</v>
      </c>
      <c r="D183" s="113" t="s">
        <v>38</v>
      </c>
      <c r="E183" s="114"/>
      <c r="F183" s="114"/>
      <c r="G183" s="114"/>
      <c r="H183" s="114"/>
      <c r="I183" s="67" t="s">
        <v>5</v>
      </c>
      <c r="J183" s="85">
        <f>J182*1.2</f>
        <v>30528.473903999991</v>
      </c>
      <c r="K183" s="13"/>
      <c r="L183" s="13"/>
      <c r="M183" s="13"/>
    </row>
    <row r="184" spans="1:13" x14ac:dyDescent="0.3">
      <c r="A184" s="87"/>
      <c r="B184" s="87"/>
      <c r="D184" s="13"/>
      <c r="E184" s="13"/>
      <c r="F184" s="13"/>
      <c r="G184" s="18"/>
      <c r="H184" s="19"/>
      <c r="I184" s="19"/>
      <c r="J184" s="29"/>
      <c r="K184" s="13"/>
      <c r="L184" s="13"/>
      <c r="M184" s="13"/>
    </row>
    <row r="185" spans="1:13" x14ac:dyDescent="0.3">
      <c r="A185" s="87"/>
      <c r="B185" s="87"/>
      <c r="D185" s="13"/>
      <c r="E185" s="13"/>
      <c r="F185" s="13"/>
      <c r="G185" s="18"/>
      <c r="H185" s="19"/>
      <c r="I185" s="19"/>
      <c r="J185" s="20"/>
      <c r="K185" s="13"/>
      <c r="L185" s="13"/>
      <c r="M185" s="13"/>
    </row>
    <row r="186" spans="1:13" x14ac:dyDescent="0.3">
      <c r="A186" s="87"/>
      <c r="B186" s="87"/>
      <c r="C186" s="118" t="s">
        <v>31</v>
      </c>
      <c r="D186" s="119"/>
      <c r="E186" s="119"/>
      <c r="F186" s="119"/>
      <c r="G186" s="119"/>
      <c r="H186" s="119"/>
      <c r="I186" s="119"/>
      <c r="J186" s="119"/>
      <c r="K186" s="25"/>
      <c r="L186" s="13"/>
      <c r="M186" s="13"/>
    </row>
    <row r="187" spans="1:13" x14ac:dyDescent="0.3">
      <c r="A187" s="87"/>
      <c r="B187" s="87"/>
      <c r="C187" s="88"/>
      <c r="D187" s="89"/>
      <c r="E187" s="89"/>
      <c r="F187" s="89"/>
      <c r="G187" s="89"/>
      <c r="H187" s="89"/>
      <c r="I187" s="89"/>
      <c r="J187" s="89"/>
      <c r="K187" s="25"/>
      <c r="L187" s="13"/>
      <c r="M187" s="13"/>
    </row>
    <row r="188" spans="1:13" x14ac:dyDescent="0.3">
      <c r="A188" s="87"/>
      <c r="B188" s="87"/>
      <c r="C188" s="86"/>
      <c r="D188" s="86"/>
      <c r="E188" s="86"/>
      <c r="F188" s="86"/>
      <c r="G188" s="37"/>
      <c r="H188" s="38"/>
      <c r="I188" s="38"/>
      <c r="J188" s="39"/>
      <c r="K188" s="25"/>
      <c r="L188" s="13"/>
      <c r="M188" s="13"/>
    </row>
    <row r="189" spans="1:13" ht="18" x14ac:dyDescent="0.25">
      <c r="A189" s="87"/>
      <c r="B189" s="87"/>
      <c r="C189" s="107" t="s">
        <v>32</v>
      </c>
      <c r="D189" s="107"/>
      <c r="E189" s="107"/>
      <c r="F189" s="108"/>
      <c r="G189" s="108"/>
      <c r="H189" s="108"/>
      <c r="I189" s="108"/>
      <c r="J189" s="108"/>
      <c r="K189" s="108"/>
      <c r="L189" s="13"/>
      <c r="M189" s="13"/>
    </row>
    <row r="190" spans="1:13" x14ac:dyDescent="0.3">
      <c r="A190" s="87"/>
      <c r="B190" s="87"/>
      <c r="C190" s="86"/>
      <c r="D190" s="86"/>
      <c r="E190" s="86"/>
      <c r="F190" s="86"/>
      <c r="G190" s="37"/>
      <c r="H190" s="38"/>
      <c r="I190" s="38"/>
      <c r="J190" s="39"/>
      <c r="K190" s="25"/>
      <c r="L190" s="13"/>
      <c r="M190" s="13"/>
    </row>
    <row r="191" spans="1:13" ht="18" x14ac:dyDescent="0.25">
      <c r="A191" s="87"/>
      <c r="B191" s="87"/>
      <c r="C191" s="86"/>
      <c r="D191" s="40"/>
      <c r="E191" s="40"/>
      <c r="F191" s="40"/>
      <c r="G191" s="41"/>
      <c r="H191" s="42"/>
      <c r="I191" s="42"/>
      <c r="J191" s="43"/>
      <c r="K191" s="13"/>
      <c r="L191" s="13"/>
      <c r="M191" s="13"/>
    </row>
    <row r="192" spans="1:13" x14ac:dyDescent="0.3">
      <c r="A192" s="101"/>
      <c r="B192" s="101"/>
      <c r="D192" s="101"/>
      <c r="E192" s="101"/>
      <c r="F192" s="101"/>
      <c r="K192" s="101"/>
      <c r="L192" s="101"/>
      <c r="M192" s="101"/>
    </row>
    <row r="193" spans="1:13" x14ac:dyDescent="0.3">
      <c r="A193" s="101"/>
      <c r="B193" s="101"/>
      <c r="D193" s="101"/>
      <c r="E193" s="101"/>
      <c r="F193" s="101"/>
      <c r="K193" s="149" t="s">
        <v>0</v>
      </c>
      <c r="L193" s="150"/>
      <c r="M193" s="150"/>
    </row>
    <row r="194" spans="1:13" x14ac:dyDescent="0.3">
      <c r="A194" s="101"/>
      <c r="B194" s="101"/>
      <c r="D194" s="101"/>
      <c r="E194" s="101"/>
      <c r="F194" s="101"/>
      <c r="K194" s="101"/>
      <c r="L194" s="101"/>
      <c r="M194" s="101"/>
    </row>
    <row r="195" spans="1:13" ht="15.75" x14ac:dyDescent="0.25">
      <c r="A195" s="101"/>
      <c r="B195" s="101"/>
      <c r="C195" s="151"/>
      <c r="D195" s="152"/>
      <c r="E195" s="152"/>
      <c r="F195" s="152"/>
      <c r="G195" s="152"/>
      <c r="H195" s="101"/>
      <c r="I195" s="101"/>
      <c r="J195" s="101"/>
      <c r="K195" s="13"/>
      <c r="L195" s="13"/>
      <c r="M195" s="13"/>
    </row>
    <row r="196" spans="1:13" ht="18" x14ac:dyDescent="0.25">
      <c r="A196" s="101"/>
      <c r="B196" s="101"/>
      <c r="C196" s="61"/>
      <c r="D196" s="97"/>
      <c r="E196" s="97"/>
      <c r="F196" s="97"/>
      <c r="G196" s="97"/>
      <c r="H196" s="98"/>
      <c r="I196" s="99"/>
      <c r="J196" s="99"/>
      <c r="K196" s="13"/>
      <c r="L196" s="13"/>
      <c r="M196" s="13"/>
    </row>
    <row r="197" spans="1:13" ht="18" x14ac:dyDescent="0.25">
      <c r="A197" s="101"/>
      <c r="B197" s="101"/>
      <c r="C197" s="62"/>
      <c r="D197" s="14"/>
      <c r="E197" s="14"/>
      <c r="F197" s="14"/>
      <c r="G197" s="14"/>
      <c r="H197" s="145" t="s">
        <v>19</v>
      </c>
      <c r="I197" s="145"/>
      <c r="J197" s="145"/>
      <c r="K197" s="13"/>
      <c r="L197" s="13"/>
      <c r="M197" s="13"/>
    </row>
    <row r="198" spans="1:13" ht="17.25" x14ac:dyDescent="0.25">
      <c r="A198" s="101"/>
      <c r="B198" s="101"/>
      <c r="C198" s="146"/>
      <c r="D198" s="146"/>
      <c r="E198" s="146"/>
      <c r="F198" s="146"/>
      <c r="G198" s="146"/>
      <c r="H198" s="147" t="s">
        <v>40</v>
      </c>
      <c r="I198" s="147"/>
      <c r="J198" s="147"/>
      <c r="K198" s="13"/>
      <c r="L198" s="13"/>
      <c r="M198" s="13"/>
    </row>
    <row r="199" spans="1:13" ht="18" x14ac:dyDescent="0.25">
      <c r="A199" s="101"/>
      <c r="B199" s="101"/>
      <c r="C199" s="7"/>
      <c r="D199" s="100"/>
      <c r="E199" s="100"/>
      <c r="F199" s="100"/>
      <c r="G199" s="100"/>
      <c r="H199" s="147"/>
      <c r="I199" s="147"/>
      <c r="J199" s="147"/>
      <c r="K199" s="108"/>
      <c r="L199" s="13"/>
      <c r="M199" s="13"/>
    </row>
    <row r="200" spans="1:13" ht="18" x14ac:dyDescent="0.25">
      <c r="A200" s="101"/>
      <c r="B200" s="101"/>
      <c r="C200" s="63"/>
      <c r="D200" s="24"/>
      <c r="E200" s="24"/>
      <c r="F200" s="24"/>
      <c r="G200" s="24"/>
      <c r="H200" s="17"/>
      <c r="I200" s="17"/>
      <c r="J200" s="17"/>
      <c r="K200" s="148"/>
      <c r="L200" s="148"/>
      <c r="M200" s="13"/>
    </row>
    <row r="201" spans="1:13" ht="18" x14ac:dyDescent="0.25">
      <c r="A201" s="101"/>
      <c r="B201" s="101"/>
      <c r="C201" s="63"/>
      <c r="D201" s="24"/>
      <c r="E201" s="24"/>
      <c r="F201" s="24"/>
      <c r="G201" s="24"/>
      <c r="H201" s="35"/>
      <c r="I201" s="35"/>
      <c r="J201" s="35"/>
      <c r="K201" s="13"/>
      <c r="L201" s="13"/>
      <c r="M201" s="13"/>
    </row>
    <row r="202" spans="1:13" ht="18" x14ac:dyDescent="0.25">
      <c r="A202" s="101"/>
      <c r="B202" s="101"/>
      <c r="C202" s="63"/>
      <c r="D202" s="24"/>
      <c r="E202" s="24"/>
      <c r="F202" s="24"/>
      <c r="G202" s="24"/>
      <c r="H202" s="35"/>
      <c r="I202" s="35"/>
      <c r="J202" s="35"/>
      <c r="K202" s="22"/>
      <c r="L202" s="13"/>
      <c r="M202" s="13"/>
    </row>
    <row r="203" spans="1:13" ht="18" x14ac:dyDescent="0.25">
      <c r="A203" s="101"/>
      <c r="B203" s="101"/>
      <c r="C203" s="63"/>
      <c r="D203" s="24"/>
      <c r="E203" s="24"/>
      <c r="F203" s="24"/>
      <c r="G203" s="24"/>
      <c r="H203" s="140" t="s">
        <v>39</v>
      </c>
      <c r="I203" s="140"/>
      <c r="J203" s="140"/>
      <c r="K203" s="108"/>
      <c r="L203" s="108"/>
      <c r="M203" s="13"/>
    </row>
    <row r="204" spans="1:13" x14ac:dyDescent="0.3">
      <c r="A204" s="101"/>
      <c r="B204" s="101"/>
      <c r="D204" s="13"/>
      <c r="E204" s="13"/>
      <c r="F204" s="13"/>
      <c r="G204" s="18"/>
      <c r="H204" s="19"/>
      <c r="I204" s="19"/>
      <c r="J204" s="20"/>
      <c r="K204" s="13"/>
      <c r="L204" s="13"/>
      <c r="M204" s="13"/>
    </row>
    <row r="205" spans="1:13" ht="23.25" x14ac:dyDescent="0.25">
      <c r="A205" s="101"/>
      <c r="B205" s="101"/>
      <c r="C205" s="141" t="s">
        <v>1</v>
      </c>
      <c r="D205" s="142"/>
      <c r="E205" s="142"/>
      <c r="F205" s="142"/>
      <c r="G205" s="142"/>
      <c r="H205" s="142"/>
      <c r="I205" s="142"/>
      <c r="J205" s="142"/>
      <c r="K205" s="46"/>
      <c r="L205" s="46"/>
      <c r="M205" s="13"/>
    </row>
    <row r="206" spans="1:13" x14ac:dyDescent="0.3">
      <c r="A206" s="101"/>
      <c r="B206" s="101"/>
      <c r="C206" s="130" t="s">
        <v>25</v>
      </c>
      <c r="D206" s="131"/>
      <c r="E206" s="135" t="s">
        <v>53</v>
      </c>
      <c r="F206" s="135"/>
      <c r="G206" s="135"/>
      <c r="H206" s="135"/>
      <c r="I206" s="135"/>
      <c r="J206" s="135"/>
      <c r="K206" s="105"/>
      <c r="L206" s="105"/>
      <c r="M206" s="13"/>
    </row>
    <row r="207" spans="1:13" x14ac:dyDescent="0.3">
      <c r="A207" s="101"/>
      <c r="B207" s="101"/>
      <c r="C207" s="130" t="s">
        <v>2</v>
      </c>
      <c r="D207" s="131"/>
      <c r="E207" s="143" t="s">
        <v>3</v>
      </c>
      <c r="F207" s="144"/>
      <c r="G207" s="144"/>
      <c r="H207" s="144"/>
      <c r="I207" s="144"/>
      <c r="J207" s="144"/>
      <c r="K207" s="105"/>
      <c r="L207" s="105"/>
      <c r="M207" s="13"/>
    </row>
    <row r="208" spans="1:13" x14ac:dyDescent="0.3">
      <c r="A208" s="101"/>
      <c r="B208" s="101"/>
      <c r="C208" s="130" t="s">
        <v>4</v>
      </c>
      <c r="D208" s="131"/>
      <c r="E208" s="132" t="s">
        <v>26</v>
      </c>
      <c r="F208" s="133"/>
      <c r="G208" s="133"/>
      <c r="H208" s="133"/>
      <c r="I208" s="133"/>
      <c r="J208" s="133"/>
      <c r="K208" s="134"/>
      <c r="L208" s="134"/>
      <c r="M208" s="13"/>
    </row>
    <row r="209" spans="1:13" x14ac:dyDescent="0.3">
      <c r="A209" s="101"/>
      <c r="B209" s="101"/>
      <c r="C209" s="130" t="s">
        <v>24</v>
      </c>
      <c r="D209" s="131"/>
      <c r="E209" s="135" t="s">
        <v>30</v>
      </c>
      <c r="F209" s="135"/>
      <c r="G209" s="135"/>
      <c r="H209" s="135"/>
      <c r="I209" s="135"/>
      <c r="J209" s="135"/>
      <c r="K209" s="105"/>
      <c r="L209" s="105"/>
      <c r="M209" s="13"/>
    </row>
    <row r="210" spans="1:13" x14ac:dyDescent="0.3">
      <c r="A210" s="101"/>
      <c r="B210" s="101"/>
      <c r="C210" s="136" t="s">
        <v>6</v>
      </c>
      <c r="D210" s="137"/>
      <c r="E210" s="138" t="s">
        <v>33</v>
      </c>
      <c r="F210" s="138"/>
      <c r="G210" s="138"/>
      <c r="H210" s="138"/>
      <c r="I210" s="138"/>
      <c r="J210" s="138"/>
      <c r="K210" s="139"/>
      <c r="L210" s="139"/>
      <c r="M210" s="13"/>
    </row>
    <row r="211" spans="1:13" ht="19.5" thickBot="1" x14ac:dyDescent="0.35">
      <c r="A211" s="101"/>
      <c r="B211" s="101"/>
      <c r="C211" s="105"/>
      <c r="D211" s="46"/>
      <c r="E211" s="46"/>
      <c r="F211" s="46"/>
      <c r="G211" s="48"/>
      <c r="H211" s="49"/>
      <c r="I211" s="49"/>
      <c r="J211" s="50"/>
      <c r="K211" s="46"/>
      <c r="L211" s="46"/>
      <c r="M211" s="13"/>
    </row>
    <row r="212" spans="1:13" ht="75" x14ac:dyDescent="0.25">
      <c r="A212" s="6"/>
      <c r="B212" s="6"/>
      <c r="C212" s="51" t="s">
        <v>7</v>
      </c>
      <c r="D212" s="51" t="s">
        <v>8</v>
      </c>
      <c r="E212" s="52" t="s">
        <v>9</v>
      </c>
      <c r="F212" s="51" t="s">
        <v>10</v>
      </c>
      <c r="G212" s="51" t="s">
        <v>11</v>
      </c>
      <c r="H212" s="120" t="s">
        <v>12</v>
      </c>
      <c r="I212" s="121"/>
      <c r="J212" s="53" t="s">
        <v>13</v>
      </c>
      <c r="K212" s="68" t="s">
        <v>27</v>
      </c>
      <c r="L212" s="69" t="s">
        <v>28</v>
      </c>
      <c r="M212" s="70" t="s">
        <v>29</v>
      </c>
    </row>
    <row r="213" spans="1:13" ht="18" x14ac:dyDescent="0.25">
      <c r="A213" s="71"/>
      <c r="B213" s="71"/>
      <c r="C213" s="26">
        <v>1</v>
      </c>
      <c r="D213" s="26">
        <v>2</v>
      </c>
      <c r="E213" s="26">
        <v>3</v>
      </c>
      <c r="F213" s="26">
        <v>4</v>
      </c>
      <c r="G213" s="26">
        <v>5</v>
      </c>
      <c r="H213" s="122">
        <v>6</v>
      </c>
      <c r="I213" s="123"/>
      <c r="J213" s="72">
        <v>7</v>
      </c>
      <c r="K213" s="73">
        <v>8</v>
      </c>
      <c r="L213" s="73">
        <v>9</v>
      </c>
      <c r="M213" s="73">
        <v>10</v>
      </c>
    </row>
    <row r="214" spans="1:13" ht="21" x14ac:dyDescent="0.35">
      <c r="A214" s="8"/>
      <c r="B214" s="8"/>
      <c r="C214" s="124" t="s">
        <v>17</v>
      </c>
      <c r="D214" s="125"/>
      <c r="E214" s="125"/>
      <c r="F214" s="125"/>
      <c r="G214" s="125"/>
      <c r="H214" s="125"/>
      <c r="I214" s="125"/>
      <c r="J214" s="125"/>
      <c r="K214" s="108"/>
      <c r="L214" s="108"/>
      <c r="M214" s="126"/>
    </row>
    <row r="215" spans="1:13" x14ac:dyDescent="0.3">
      <c r="A215" s="101"/>
      <c r="B215" s="101"/>
      <c r="D215" s="13"/>
      <c r="E215" s="13"/>
      <c r="F215" s="13"/>
      <c r="G215" s="18"/>
      <c r="H215" s="19"/>
      <c r="I215" s="19"/>
      <c r="J215" s="20"/>
      <c r="K215" s="21"/>
      <c r="L215" s="22"/>
      <c r="M215" s="34"/>
    </row>
    <row r="216" spans="1:13" ht="115.5" x14ac:dyDescent="0.25">
      <c r="A216" s="101"/>
      <c r="B216" s="101"/>
      <c r="C216" s="64">
        <v>1</v>
      </c>
      <c r="D216" s="54" t="s">
        <v>54</v>
      </c>
      <c r="E216" s="55" t="s">
        <v>14</v>
      </c>
      <c r="F216" s="56">
        <v>1</v>
      </c>
      <c r="G216" s="106" t="s">
        <v>55</v>
      </c>
      <c r="H216" s="127" t="s">
        <v>36</v>
      </c>
      <c r="I216" s="128"/>
      <c r="J216" s="78">
        <f>(K216+L216*M216) *1.15*1.2</f>
        <v>3166.4950079999994</v>
      </c>
      <c r="K216" s="79">
        <v>1916</v>
      </c>
      <c r="L216" s="80">
        <v>2.76</v>
      </c>
      <c r="M216" s="81">
        <v>137.16</v>
      </c>
    </row>
    <row r="217" spans="1:13" ht="49.5" x14ac:dyDescent="0.25">
      <c r="A217" s="101"/>
      <c r="B217" s="101"/>
      <c r="C217" s="65">
        <v>2</v>
      </c>
      <c r="D217" s="57" t="s">
        <v>20</v>
      </c>
      <c r="E217" s="58" t="s">
        <v>15</v>
      </c>
      <c r="F217" s="59">
        <v>1</v>
      </c>
      <c r="G217" s="60" t="s">
        <v>34</v>
      </c>
      <c r="H217" s="127" t="s">
        <v>23</v>
      </c>
      <c r="I217" s="129"/>
      <c r="J217" s="28">
        <f>K217*0.7</f>
        <v>2186.1</v>
      </c>
      <c r="K217" s="75">
        <v>3123</v>
      </c>
      <c r="L217" s="27">
        <v>0</v>
      </c>
      <c r="M217" s="76">
        <v>1</v>
      </c>
    </row>
    <row r="218" spans="1:13" ht="18" x14ac:dyDescent="0.25">
      <c r="A218" s="101"/>
      <c r="B218" s="101"/>
      <c r="C218" s="82">
        <v>3</v>
      </c>
      <c r="D218" s="113" t="s">
        <v>16</v>
      </c>
      <c r="E218" s="114"/>
      <c r="F218" s="114"/>
      <c r="G218" s="114"/>
      <c r="H218" s="114"/>
      <c r="I218" s="66" t="s">
        <v>5</v>
      </c>
      <c r="J218" s="83">
        <f>SUM(J216:J217)</f>
        <v>5352.5950079999993</v>
      </c>
      <c r="K218" s="13"/>
      <c r="L218" s="13"/>
      <c r="M218" s="13"/>
    </row>
    <row r="219" spans="1:13" ht="18" x14ac:dyDescent="0.25">
      <c r="A219" s="101"/>
      <c r="B219" s="101"/>
      <c r="C219" s="82">
        <v>4</v>
      </c>
      <c r="D219" s="115" t="s">
        <v>35</v>
      </c>
      <c r="E219" s="116"/>
      <c r="F219" s="116"/>
      <c r="G219" s="116"/>
      <c r="H219" s="116"/>
      <c r="I219" s="67">
        <v>4.8819999999999997</v>
      </c>
      <c r="J219" s="84">
        <f>J218*I219</f>
        <v>26131.368829055995</v>
      </c>
      <c r="K219" s="117"/>
      <c r="L219" s="117"/>
      <c r="M219" s="117"/>
    </row>
    <row r="220" spans="1:13" ht="18" x14ac:dyDescent="0.25">
      <c r="A220" s="101"/>
      <c r="B220" s="101"/>
      <c r="C220" s="82">
        <v>5</v>
      </c>
      <c r="D220" s="113" t="s">
        <v>38</v>
      </c>
      <c r="E220" s="114"/>
      <c r="F220" s="114"/>
      <c r="G220" s="114"/>
      <c r="H220" s="114"/>
      <c r="I220" s="67" t="s">
        <v>5</v>
      </c>
      <c r="J220" s="85">
        <f>J219*1.2</f>
        <v>31357.642594867193</v>
      </c>
      <c r="K220" s="13"/>
      <c r="L220" s="13"/>
      <c r="M220" s="13"/>
    </row>
    <row r="221" spans="1:13" x14ac:dyDescent="0.3">
      <c r="A221" s="101"/>
      <c r="B221" s="101"/>
      <c r="D221" s="13"/>
      <c r="E221" s="13"/>
      <c r="F221" s="13"/>
      <c r="G221" s="18"/>
      <c r="H221" s="19"/>
      <c r="I221" s="19"/>
      <c r="J221" s="29"/>
      <c r="K221" s="13"/>
      <c r="L221" s="13"/>
      <c r="M221" s="13"/>
    </row>
    <row r="222" spans="1:13" x14ac:dyDescent="0.3">
      <c r="A222" s="101"/>
      <c r="B222" s="101"/>
      <c r="D222" s="13"/>
      <c r="E222" s="13"/>
      <c r="F222" s="13"/>
      <c r="G222" s="18"/>
      <c r="H222" s="19"/>
      <c r="I222" s="19"/>
      <c r="J222" s="20"/>
      <c r="K222" s="13"/>
      <c r="L222" s="13"/>
      <c r="M222" s="13"/>
    </row>
    <row r="223" spans="1:13" x14ac:dyDescent="0.3">
      <c r="A223" s="101"/>
      <c r="B223" s="101"/>
      <c r="C223" s="118" t="s">
        <v>31</v>
      </c>
      <c r="D223" s="119"/>
      <c r="E223" s="119"/>
      <c r="F223" s="119"/>
      <c r="G223" s="119"/>
      <c r="H223" s="119"/>
      <c r="I223" s="119"/>
      <c r="J223" s="119"/>
      <c r="K223" s="25"/>
      <c r="L223" s="13"/>
      <c r="M223" s="13"/>
    </row>
    <row r="224" spans="1:13" x14ac:dyDescent="0.3">
      <c r="A224" s="101"/>
      <c r="B224" s="101"/>
      <c r="C224" s="103"/>
      <c r="D224" s="104"/>
      <c r="E224" s="104"/>
      <c r="F224" s="104"/>
      <c r="G224" s="104"/>
      <c r="H224" s="104"/>
      <c r="I224" s="104"/>
      <c r="J224" s="104"/>
      <c r="K224" s="25"/>
      <c r="L224" s="13"/>
      <c r="M224" s="13"/>
    </row>
    <row r="225" spans="1:13" x14ac:dyDescent="0.3">
      <c r="A225" s="101"/>
      <c r="B225" s="101"/>
      <c r="C225" s="102"/>
      <c r="D225" s="102"/>
      <c r="E225" s="102"/>
      <c r="F225" s="102"/>
      <c r="G225" s="37"/>
      <c r="H225" s="38"/>
      <c r="I225" s="38"/>
      <c r="J225" s="39"/>
      <c r="K225" s="25"/>
      <c r="L225" s="13"/>
      <c r="M225" s="13"/>
    </row>
    <row r="226" spans="1:13" ht="18" x14ac:dyDescent="0.25">
      <c r="A226" s="101"/>
      <c r="B226" s="101"/>
      <c r="C226" s="107" t="s">
        <v>32</v>
      </c>
      <c r="D226" s="107"/>
      <c r="E226" s="107"/>
      <c r="F226" s="108"/>
      <c r="G226" s="108"/>
      <c r="H226" s="108"/>
      <c r="I226" s="108"/>
      <c r="J226" s="108"/>
      <c r="K226" s="108"/>
      <c r="L226" s="13"/>
      <c r="M226" s="13"/>
    </row>
    <row r="227" spans="1:13" x14ac:dyDescent="0.3">
      <c r="A227" s="101"/>
      <c r="B227" s="101"/>
      <c r="C227" s="102"/>
      <c r="D227" s="102"/>
      <c r="E227" s="102"/>
      <c r="F227" s="102"/>
      <c r="G227" s="37"/>
      <c r="H227" s="38"/>
      <c r="I227" s="38"/>
      <c r="J227" s="39"/>
      <c r="K227" s="25"/>
      <c r="L227" s="13"/>
      <c r="M227" s="13"/>
    </row>
    <row r="228" spans="1:13" ht="18" x14ac:dyDescent="0.25">
      <c r="A228" s="101"/>
      <c r="B228" s="101"/>
      <c r="C228" s="102"/>
      <c r="D228" s="40"/>
      <c r="E228" s="40"/>
      <c r="F228" s="40"/>
      <c r="G228" s="41"/>
      <c r="H228" s="42"/>
      <c r="I228" s="42"/>
      <c r="J228" s="43"/>
      <c r="K228" s="13"/>
      <c r="L228" s="13"/>
      <c r="M228" s="13"/>
    </row>
    <row r="229" spans="1:13" x14ac:dyDescent="0.3">
      <c r="A229" s="101"/>
      <c r="B229" s="101"/>
      <c r="D229" s="13"/>
      <c r="E229" s="13"/>
      <c r="F229" s="13"/>
      <c r="G229" s="18"/>
      <c r="H229" s="19"/>
      <c r="I229" s="19"/>
      <c r="J229" s="20"/>
      <c r="K229" s="13"/>
      <c r="L229" s="13"/>
      <c r="M229" s="13"/>
    </row>
    <row r="231" spans="1:13" x14ac:dyDescent="0.3">
      <c r="A231" s="101"/>
      <c r="B231" s="101"/>
      <c r="D231" s="101"/>
      <c r="E231" s="101"/>
      <c r="F231" s="101"/>
      <c r="K231" s="101"/>
      <c r="L231" s="101"/>
      <c r="M231" s="101"/>
    </row>
    <row r="232" spans="1:13" x14ac:dyDescent="0.3">
      <c r="A232" s="101"/>
      <c r="B232" s="101"/>
      <c r="D232" s="101"/>
      <c r="E232" s="101"/>
      <c r="F232" s="101"/>
      <c r="K232" s="149"/>
      <c r="L232" s="150"/>
      <c r="M232" s="150"/>
    </row>
  </sheetData>
  <mergeCells count="183">
    <mergeCell ref="C223:J223"/>
    <mergeCell ref="C226:K226"/>
    <mergeCell ref="K232:M232"/>
    <mergeCell ref="H212:I212"/>
    <mergeCell ref="H213:I213"/>
    <mergeCell ref="C214:M214"/>
    <mergeCell ref="H216:I216"/>
    <mergeCell ref="H217:I217"/>
    <mergeCell ref="D218:H218"/>
    <mergeCell ref="D219:H219"/>
    <mergeCell ref="K219:M219"/>
    <mergeCell ref="D220:H220"/>
    <mergeCell ref="C206:D206"/>
    <mergeCell ref="E206:J206"/>
    <mergeCell ref="C207:D207"/>
    <mergeCell ref="E207:J207"/>
    <mergeCell ref="C208:D208"/>
    <mergeCell ref="E208:L208"/>
    <mergeCell ref="C209:D209"/>
    <mergeCell ref="E209:J209"/>
    <mergeCell ref="C210:D210"/>
    <mergeCell ref="E210:L210"/>
    <mergeCell ref="K193:M193"/>
    <mergeCell ref="C195:G195"/>
    <mergeCell ref="H197:J197"/>
    <mergeCell ref="C198:G198"/>
    <mergeCell ref="H198:J198"/>
    <mergeCell ref="H199:K199"/>
    <mergeCell ref="K200:L200"/>
    <mergeCell ref="H203:L203"/>
    <mergeCell ref="C205:J205"/>
    <mergeCell ref="C8:G8"/>
    <mergeCell ref="K6:M6"/>
    <mergeCell ref="C18:J18"/>
    <mergeCell ref="C19:D19"/>
    <mergeCell ref="E19:J19"/>
    <mergeCell ref="C11:G11"/>
    <mergeCell ref="H12:K12"/>
    <mergeCell ref="K13:L13"/>
    <mergeCell ref="H16:L16"/>
    <mergeCell ref="C39:K39"/>
    <mergeCell ref="C27:M27"/>
    <mergeCell ref="K32:M32"/>
    <mergeCell ref="H10:J10"/>
    <mergeCell ref="H11:J11"/>
    <mergeCell ref="D31:H31"/>
    <mergeCell ref="H30:I30"/>
    <mergeCell ref="C20:D20"/>
    <mergeCell ref="E20:J20"/>
    <mergeCell ref="C21:D21"/>
    <mergeCell ref="H25:I25"/>
    <mergeCell ref="H26:I26"/>
    <mergeCell ref="H29:I29"/>
    <mergeCell ref="C22:D22"/>
    <mergeCell ref="E22:J22"/>
    <mergeCell ref="C36:J36"/>
    <mergeCell ref="D32:H32"/>
    <mergeCell ref="D33:H33"/>
    <mergeCell ref="C23:D23"/>
    <mergeCell ref="E23:L23"/>
    <mergeCell ref="E21:L21"/>
    <mergeCell ref="H50:K50"/>
    <mergeCell ref="K51:L51"/>
    <mergeCell ref="H54:L54"/>
    <mergeCell ref="C56:J56"/>
    <mergeCell ref="C57:D57"/>
    <mergeCell ref="E57:J57"/>
    <mergeCell ref="K44:M44"/>
    <mergeCell ref="C46:G46"/>
    <mergeCell ref="H48:J48"/>
    <mergeCell ref="C49:G49"/>
    <mergeCell ref="H49:J49"/>
    <mergeCell ref="C61:D61"/>
    <mergeCell ref="E61:L61"/>
    <mergeCell ref="H63:I63"/>
    <mergeCell ref="H64:I64"/>
    <mergeCell ref="C65:M65"/>
    <mergeCell ref="C58:D58"/>
    <mergeCell ref="E58:J58"/>
    <mergeCell ref="C59:D59"/>
    <mergeCell ref="E59:L59"/>
    <mergeCell ref="C60:D60"/>
    <mergeCell ref="E60:J60"/>
    <mergeCell ref="D71:H71"/>
    <mergeCell ref="C74:J74"/>
    <mergeCell ref="C77:K77"/>
    <mergeCell ref="K80:M80"/>
    <mergeCell ref="C82:G82"/>
    <mergeCell ref="H67:I67"/>
    <mergeCell ref="H68:I68"/>
    <mergeCell ref="D69:H69"/>
    <mergeCell ref="D70:H70"/>
    <mergeCell ref="K70:M70"/>
    <mergeCell ref="H90:L90"/>
    <mergeCell ref="C92:J92"/>
    <mergeCell ref="C93:D93"/>
    <mergeCell ref="E93:J93"/>
    <mergeCell ref="C94:D94"/>
    <mergeCell ref="E94:J94"/>
    <mergeCell ref="H84:J84"/>
    <mergeCell ref="C85:G85"/>
    <mergeCell ref="H85:J85"/>
    <mergeCell ref="H86:K86"/>
    <mergeCell ref="K87:L87"/>
    <mergeCell ref="H99:I99"/>
    <mergeCell ref="H100:I100"/>
    <mergeCell ref="C101:M101"/>
    <mergeCell ref="H103:I103"/>
    <mergeCell ref="H104:I104"/>
    <mergeCell ref="C95:D95"/>
    <mergeCell ref="E95:L95"/>
    <mergeCell ref="C96:D96"/>
    <mergeCell ref="E96:J96"/>
    <mergeCell ref="C97:D97"/>
    <mergeCell ref="E97:L97"/>
    <mergeCell ref="C113:K113"/>
    <mergeCell ref="K118:M118"/>
    <mergeCell ref="C120:G120"/>
    <mergeCell ref="H122:J122"/>
    <mergeCell ref="C123:G123"/>
    <mergeCell ref="H123:J123"/>
    <mergeCell ref="D105:H105"/>
    <mergeCell ref="D106:H106"/>
    <mergeCell ref="K106:M106"/>
    <mergeCell ref="D107:H107"/>
    <mergeCell ref="C110:J110"/>
    <mergeCell ref="C132:D132"/>
    <mergeCell ref="E132:J132"/>
    <mergeCell ref="C133:D133"/>
    <mergeCell ref="E133:L133"/>
    <mergeCell ref="C134:D134"/>
    <mergeCell ref="E134:J134"/>
    <mergeCell ref="H124:K124"/>
    <mergeCell ref="K125:L125"/>
    <mergeCell ref="H128:L128"/>
    <mergeCell ref="C130:J130"/>
    <mergeCell ref="C131:D131"/>
    <mergeCell ref="E131:J131"/>
    <mergeCell ref="H141:I141"/>
    <mergeCell ref="H142:I142"/>
    <mergeCell ref="D143:H143"/>
    <mergeCell ref="D144:H144"/>
    <mergeCell ref="K144:M144"/>
    <mergeCell ref="C135:D135"/>
    <mergeCell ref="E135:L135"/>
    <mergeCell ref="H137:I137"/>
    <mergeCell ref="H138:I138"/>
    <mergeCell ref="C139:M139"/>
    <mergeCell ref="E170:J170"/>
    <mergeCell ref="H160:J160"/>
    <mergeCell ref="C161:G161"/>
    <mergeCell ref="H161:J161"/>
    <mergeCell ref="H162:K162"/>
    <mergeCell ref="K163:L163"/>
    <mergeCell ref="D145:H145"/>
    <mergeCell ref="C148:J148"/>
    <mergeCell ref="C151:K151"/>
    <mergeCell ref="K156:M156"/>
    <mergeCell ref="C158:G158"/>
    <mergeCell ref="C189:K189"/>
    <mergeCell ref="J1:M3"/>
    <mergeCell ref="A5:M5"/>
    <mergeCell ref="D181:H181"/>
    <mergeCell ref="D182:H182"/>
    <mergeCell ref="K182:M182"/>
    <mergeCell ref="D183:H183"/>
    <mergeCell ref="C186:J186"/>
    <mergeCell ref="H175:I175"/>
    <mergeCell ref="H176:I176"/>
    <mergeCell ref="C177:M177"/>
    <mergeCell ref="H179:I179"/>
    <mergeCell ref="H180:I180"/>
    <mergeCell ref="C171:D171"/>
    <mergeCell ref="E171:L171"/>
    <mergeCell ref="C172:D172"/>
    <mergeCell ref="E172:J172"/>
    <mergeCell ref="C173:D173"/>
    <mergeCell ref="E173:L173"/>
    <mergeCell ref="H166:L166"/>
    <mergeCell ref="C168:J168"/>
    <mergeCell ref="C169:D169"/>
    <mergeCell ref="E169:J169"/>
    <mergeCell ref="C170:D170"/>
  </mergeCells>
  <printOptions headings="1" gridLines="1"/>
  <pageMargins left="0.3611111111111111" right="0.3611111111111111" top="0.3611111111111111" bottom="0.3611111111111111" header="0.3" footer="0.3"/>
  <pageSetup paperSize="9" scale="46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6BF0-76C3-4311-8F0C-131CF1A16574}">
  <dimension ref="A1"/>
  <sheetViews>
    <sheetView topLeftCell="A22" zoomScaleNormal="100" workbookViewId="0">
      <selection activeCell="I34" sqref="I3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Смета</vt:lpstr>
      <vt:lpstr>Лист1</vt:lpstr>
      <vt:lpstr>Смета!Область_печати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MaslovaIM</dc:creator>
  <cp:lastModifiedBy>Егорова Светлана Александровна</cp:lastModifiedBy>
  <cp:lastPrinted>2017-05-11T06:56:18Z</cp:lastPrinted>
  <dcterms:created xsi:type="dcterms:W3CDTF">2012-06-20T06:46:08Z</dcterms:created>
  <dcterms:modified xsi:type="dcterms:W3CDTF">2022-11-14T07:54:02Z</dcterms:modified>
</cp:coreProperties>
</file>